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sdi\wc-joseph\Camp\Afternoon Program spreadsheet\"/>
    </mc:Choice>
  </mc:AlternateContent>
  <xr:revisionPtr revIDLastSave="0" documentId="13_ncr:1_{3783A2FA-006D-49EC-A634-A7CD525F5D5E}" xr6:coauthVersionLast="41" xr6:coauthVersionMax="41" xr10:uidLastSave="{00000000-0000-0000-0000-000000000000}"/>
  <bookViews>
    <workbookView xWindow="1872" yWindow="-108" windowWidth="21276" windowHeight="13176" tabRatio="839" xr2:uid="{00000000-000D-0000-FFFF-FFFF00000000}"/>
  </bookViews>
  <sheets>
    <sheet name="ABOUT" sheetId="4" r:id="rId1"/>
    <sheet name="ALLCAMPERS" sheetId="1" r:id="rId2"/>
    <sheet name="CABINPRIORITY" sheetId="2" r:id="rId3"/>
    <sheet name="ACTIVITYKEY" sheetId="7" r:id="rId4"/>
    <sheet name="-printActivities" sheetId="13" r:id="rId5"/>
    <sheet name="-printCabins" sheetId="11" r:id="rId6"/>
    <sheet name="-activityOut" sheetId="6" r:id="rId7"/>
    <sheet name="-activityOutP2" sheetId="8" r:id="rId8"/>
    <sheet name="-cabinOut" sheetId="5" state="hidden" r:id="rId9"/>
    <sheet name="-backup" sheetId="12" state="hidden" r:id="rId10"/>
    <sheet name="Formatting sheet" sheetId="9" r:id="rId11"/>
  </sheets>
  <definedNames>
    <definedName name="_xlnm._FilterDatabase" localSheetId="3" hidden="1">ACTIVITYKEY!$A$10:$F$41</definedName>
    <definedName name="_xlnm._FilterDatabase" localSheetId="6" hidden="1">'-activityOut'!$A$9:$AF$9</definedName>
    <definedName name="_xlnm._FilterDatabase" localSheetId="5" hidden="1">'-printCabins'!$S$1:$Y$11</definedName>
    <definedName name="_xlnm.Print_Area" localSheetId="0">ABOUT!$A:$B</definedName>
    <definedName name="_xlnm.Print_Area" localSheetId="3">ACTIVITYKEY!$I$3:$AI$30</definedName>
    <definedName name="_xlnm.Print_Area" localSheetId="6">'-activityOut'!$C:$V</definedName>
    <definedName name="_xlnm.Print_Area" localSheetId="7">'-activityOutP2'!$B:$O</definedName>
    <definedName name="_xlnm.Print_Area" localSheetId="1">ALLCAMPERS!$A:$L</definedName>
    <definedName name="_xlnm.Print_Area" localSheetId="4">'-printActivities'!$A$1:$H$38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7" l="1"/>
  <c r="L11" i="7"/>
  <c r="K12" i="7"/>
  <c r="L12" i="7"/>
  <c r="K13" i="7"/>
  <c r="L13" i="7"/>
  <c r="K14" i="7"/>
  <c r="L14" i="7"/>
  <c r="K15" i="7"/>
  <c r="L15" i="7"/>
  <c r="K16" i="7"/>
  <c r="L16" i="7"/>
  <c r="K17" i="7"/>
  <c r="L17" i="7"/>
  <c r="K18" i="7"/>
  <c r="L18" i="7"/>
  <c r="K19" i="7"/>
  <c r="L19" i="7"/>
  <c r="K20" i="7"/>
  <c r="L20" i="7"/>
  <c r="K21" i="7"/>
  <c r="L21" i="7"/>
  <c r="K22" i="7"/>
  <c r="L22" i="7"/>
  <c r="K23" i="7"/>
  <c r="L23" i="7"/>
  <c r="K24" i="7"/>
  <c r="L24" i="7"/>
  <c r="K25" i="7"/>
  <c r="L25" i="7"/>
  <c r="K26" i="7"/>
  <c r="L26" i="7"/>
  <c r="K27" i="7"/>
  <c r="L27" i="7"/>
  <c r="L10" i="7"/>
  <c r="K10" i="7"/>
  <c r="I11" i="7"/>
  <c r="J11" i="7"/>
  <c r="I12" i="7"/>
  <c r="J12" i="7"/>
  <c r="I13" i="7"/>
  <c r="J13" i="7"/>
  <c r="I14" i="7"/>
  <c r="J14" i="7"/>
  <c r="I15" i="7"/>
  <c r="J15" i="7"/>
  <c r="I16" i="7"/>
  <c r="J16" i="7"/>
  <c r="I17" i="7"/>
  <c r="J17" i="7"/>
  <c r="I18" i="7"/>
  <c r="J18" i="7"/>
  <c r="I19" i="7"/>
  <c r="J19" i="7"/>
  <c r="I20" i="7"/>
  <c r="J20" i="7"/>
  <c r="I21" i="7"/>
  <c r="J21" i="7"/>
  <c r="I22" i="7"/>
  <c r="J22" i="7"/>
  <c r="I23" i="7"/>
  <c r="J23" i="7"/>
  <c r="I24" i="7"/>
  <c r="J24" i="7"/>
  <c r="I25" i="7"/>
  <c r="J25" i="7"/>
  <c r="I26" i="7"/>
  <c r="J26" i="7"/>
  <c r="I27" i="7"/>
  <c r="J27" i="7"/>
  <c r="J10" i="7"/>
  <c r="I10" i="7"/>
  <c r="I3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AI30" i="7"/>
  <c r="P30" i="7"/>
  <c r="P29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O12" i="7"/>
  <c r="N12" i="7"/>
  <c r="A21" i="13"/>
  <c r="F21" i="13" s="1"/>
  <c r="A1" i="13"/>
  <c r="F1" i="13" s="1"/>
  <c r="AP10" i="7"/>
  <c r="AL10" i="7"/>
  <c r="F8" i="7"/>
  <c r="E8" i="7"/>
  <c r="E7" i="7"/>
  <c r="F7" i="7"/>
  <c r="AQ14" i="7"/>
  <c r="AR14" i="7"/>
  <c r="AQ15" i="7"/>
  <c r="AR15" i="7"/>
  <c r="AQ16" i="7"/>
  <c r="AR16" i="7"/>
  <c r="AQ17" i="7"/>
  <c r="AR17" i="7"/>
  <c r="AQ18" i="7"/>
  <c r="AR18" i="7"/>
  <c r="AQ19" i="7"/>
  <c r="AR19" i="7"/>
  <c r="AQ20" i="7"/>
  <c r="AR20" i="7"/>
  <c r="AQ21" i="7"/>
  <c r="AR21" i="7"/>
  <c r="AQ22" i="7"/>
  <c r="AR22" i="7"/>
  <c r="AQ23" i="7"/>
  <c r="AR23" i="7"/>
  <c r="AQ24" i="7"/>
  <c r="AR24" i="7"/>
  <c r="AQ25" i="7"/>
  <c r="AR25" i="7"/>
  <c r="AQ26" i="7"/>
  <c r="AR26" i="7"/>
  <c r="AQ27" i="7"/>
  <c r="AR27" i="7"/>
  <c r="AR13" i="7"/>
  <c r="AQ13" i="7"/>
  <c r="AM14" i="7"/>
  <c r="AN14" i="7"/>
  <c r="AM15" i="7"/>
  <c r="AN15" i="7"/>
  <c r="AM16" i="7"/>
  <c r="AN16" i="7"/>
  <c r="AM17" i="7"/>
  <c r="AN17" i="7"/>
  <c r="AM18" i="7"/>
  <c r="AN18" i="7"/>
  <c r="AM19" i="7"/>
  <c r="AN19" i="7"/>
  <c r="AM20" i="7"/>
  <c r="AN20" i="7"/>
  <c r="AM21" i="7"/>
  <c r="AN21" i="7"/>
  <c r="AM22" i="7"/>
  <c r="AN22" i="7"/>
  <c r="AM23" i="7"/>
  <c r="AN23" i="7"/>
  <c r="AM24" i="7"/>
  <c r="AN24" i="7"/>
  <c r="AM25" i="7"/>
  <c r="AN25" i="7"/>
  <c r="AM26" i="7"/>
  <c r="AN26" i="7"/>
  <c r="AM27" i="7"/>
  <c r="AN27" i="7"/>
  <c r="AN13" i="7"/>
  <c r="AM13" i="7"/>
  <c r="AR12" i="7"/>
  <c r="AQ12" i="7"/>
  <c r="AN12" i="7"/>
  <c r="AM12" i="7"/>
  <c r="F38" i="13"/>
  <c r="C38" i="13"/>
  <c r="H38" i="13" s="1"/>
  <c r="B38" i="13"/>
  <c r="G38" i="13" s="1"/>
  <c r="F37" i="13"/>
  <c r="C37" i="13"/>
  <c r="H37" i="13" s="1"/>
  <c r="B37" i="13"/>
  <c r="G37" i="13" s="1"/>
  <c r="F36" i="13"/>
  <c r="C36" i="13"/>
  <c r="H36" i="13" s="1"/>
  <c r="B36" i="13"/>
  <c r="G36" i="13" s="1"/>
  <c r="F35" i="13"/>
  <c r="C35" i="13"/>
  <c r="H35" i="13" s="1"/>
  <c r="B35" i="13"/>
  <c r="G35" i="13" s="1"/>
  <c r="F34" i="13"/>
  <c r="C34" i="13"/>
  <c r="H34" i="13" s="1"/>
  <c r="B34" i="13"/>
  <c r="G34" i="13" s="1"/>
  <c r="F33" i="13"/>
  <c r="C33" i="13"/>
  <c r="H33" i="13" s="1"/>
  <c r="B33" i="13"/>
  <c r="G33" i="13" s="1"/>
  <c r="F32" i="13"/>
  <c r="C32" i="13"/>
  <c r="H32" i="13" s="1"/>
  <c r="B32" i="13"/>
  <c r="G32" i="13" s="1"/>
  <c r="F31" i="13"/>
  <c r="C31" i="13"/>
  <c r="H31" i="13" s="1"/>
  <c r="B31" i="13"/>
  <c r="G31" i="13" s="1"/>
  <c r="F30" i="13"/>
  <c r="C30" i="13"/>
  <c r="H30" i="13" s="1"/>
  <c r="B30" i="13"/>
  <c r="G30" i="13" s="1"/>
  <c r="F29" i="13"/>
  <c r="C29" i="13"/>
  <c r="H29" i="13" s="1"/>
  <c r="B29" i="13"/>
  <c r="G29" i="13" s="1"/>
  <c r="F28" i="13"/>
  <c r="C28" i="13"/>
  <c r="H28" i="13" s="1"/>
  <c r="B28" i="13"/>
  <c r="G28" i="13" s="1"/>
  <c r="F27" i="13"/>
  <c r="C27" i="13"/>
  <c r="H27" i="13" s="1"/>
  <c r="B27" i="13"/>
  <c r="G27" i="13" s="1"/>
  <c r="F26" i="13"/>
  <c r="C26" i="13"/>
  <c r="H26" i="13" s="1"/>
  <c r="B26" i="13"/>
  <c r="G26" i="13" s="1"/>
  <c r="F25" i="13"/>
  <c r="C25" i="13"/>
  <c r="H25" i="13" s="1"/>
  <c r="B25" i="13"/>
  <c r="G25" i="13" s="1"/>
  <c r="F24" i="13"/>
  <c r="C24" i="13"/>
  <c r="H24" i="13" s="1"/>
  <c r="B24" i="13"/>
  <c r="G24" i="13" s="1"/>
  <c r="F23" i="13"/>
  <c r="C23" i="13"/>
  <c r="H23" i="13" s="1"/>
  <c r="B23" i="13"/>
  <c r="G23" i="13" s="1"/>
  <c r="H22" i="13"/>
  <c r="G22" i="13"/>
  <c r="F22" i="13"/>
  <c r="H20" i="13"/>
  <c r="G20" i="13"/>
  <c r="F20" i="13"/>
  <c r="F18" i="13"/>
  <c r="C18" i="13"/>
  <c r="H18" i="13" s="1"/>
  <c r="B18" i="13"/>
  <c r="G18" i="13" s="1"/>
  <c r="F17" i="13"/>
  <c r="C17" i="13"/>
  <c r="H17" i="13" s="1"/>
  <c r="B17" i="13"/>
  <c r="G17" i="13" s="1"/>
  <c r="F16" i="13"/>
  <c r="C16" i="13"/>
  <c r="H16" i="13" s="1"/>
  <c r="B16" i="13"/>
  <c r="G16" i="13" s="1"/>
  <c r="F15" i="13"/>
  <c r="C15" i="13"/>
  <c r="H15" i="13" s="1"/>
  <c r="B15" i="13"/>
  <c r="G15" i="13" s="1"/>
  <c r="F14" i="13"/>
  <c r="C14" i="13"/>
  <c r="H14" i="13" s="1"/>
  <c r="B14" i="13"/>
  <c r="G14" i="13" s="1"/>
  <c r="F13" i="13"/>
  <c r="C13" i="13"/>
  <c r="H13" i="13" s="1"/>
  <c r="B13" i="13"/>
  <c r="G13" i="13" s="1"/>
  <c r="F12" i="13"/>
  <c r="C12" i="13"/>
  <c r="H12" i="13" s="1"/>
  <c r="B12" i="13"/>
  <c r="G12" i="13" s="1"/>
  <c r="F11" i="13"/>
  <c r="C11" i="13"/>
  <c r="H11" i="13" s="1"/>
  <c r="B11" i="13"/>
  <c r="G11" i="13" s="1"/>
  <c r="F10" i="13"/>
  <c r="C10" i="13"/>
  <c r="H10" i="13" s="1"/>
  <c r="B10" i="13"/>
  <c r="G10" i="13" s="1"/>
  <c r="F9" i="13"/>
  <c r="C9" i="13"/>
  <c r="H9" i="13" s="1"/>
  <c r="B9" i="13"/>
  <c r="G9" i="13" s="1"/>
  <c r="F8" i="13"/>
  <c r="C8" i="13"/>
  <c r="H8" i="13" s="1"/>
  <c r="B8" i="13"/>
  <c r="G8" i="13" s="1"/>
  <c r="F7" i="13"/>
  <c r="C7" i="13"/>
  <c r="H7" i="13" s="1"/>
  <c r="B7" i="13"/>
  <c r="G7" i="13" s="1"/>
  <c r="F6" i="13"/>
  <c r="C6" i="13"/>
  <c r="H6" i="13" s="1"/>
  <c r="B6" i="13"/>
  <c r="G6" i="13" s="1"/>
  <c r="F5" i="13"/>
  <c r="C5" i="13"/>
  <c r="H5" i="13" s="1"/>
  <c r="B5" i="13"/>
  <c r="G5" i="13" s="1"/>
  <c r="F4" i="13"/>
  <c r="C4" i="13"/>
  <c r="H4" i="13" s="1"/>
  <c r="B4" i="13"/>
  <c r="G4" i="13" s="1"/>
  <c r="F3" i="13"/>
  <c r="C3" i="13"/>
  <c r="H3" i="13" s="1"/>
  <c r="B3" i="13"/>
  <c r="G3" i="13" s="1"/>
  <c r="H2" i="13"/>
  <c r="G2" i="13"/>
  <c r="F2" i="13"/>
  <c r="Y134" i="11" l="1"/>
  <c r="X134" i="11"/>
  <c r="W134" i="11"/>
  <c r="V134" i="11"/>
  <c r="U134" i="11"/>
  <c r="T134" i="11"/>
  <c r="S134" i="11"/>
  <c r="Y133" i="11"/>
  <c r="X133" i="11"/>
  <c r="W133" i="11"/>
  <c r="V133" i="11"/>
  <c r="U133" i="11"/>
  <c r="T133" i="11"/>
  <c r="S133" i="11"/>
  <c r="Y132" i="11"/>
  <c r="X132" i="11"/>
  <c r="W132" i="11"/>
  <c r="V132" i="11"/>
  <c r="U132" i="11"/>
  <c r="T132" i="11"/>
  <c r="S132" i="11"/>
  <c r="Y131" i="11"/>
  <c r="X131" i="11"/>
  <c r="W131" i="11"/>
  <c r="V131" i="11"/>
  <c r="U131" i="11"/>
  <c r="T131" i="11"/>
  <c r="S131" i="11"/>
  <c r="Y130" i="11"/>
  <c r="X130" i="11"/>
  <c r="W130" i="11"/>
  <c r="V130" i="11"/>
  <c r="U130" i="11"/>
  <c r="T130" i="11"/>
  <c r="S130" i="11"/>
  <c r="Y129" i="11"/>
  <c r="X129" i="11"/>
  <c r="W129" i="11"/>
  <c r="V129" i="11"/>
  <c r="U129" i="11"/>
  <c r="T129" i="11"/>
  <c r="S129" i="11"/>
  <c r="Y128" i="11"/>
  <c r="X128" i="11"/>
  <c r="W128" i="11"/>
  <c r="V128" i="11"/>
  <c r="U128" i="11"/>
  <c r="T128" i="11"/>
  <c r="S128" i="11"/>
  <c r="Y127" i="11"/>
  <c r="X127" i="11"/>
  <c r="W127" i="11"/>
  <c r="V127" i="11"/>
  <c r="U127" i="11"/>
  <c r="T127" i="11"/>
  <c r="S127" i="11"/>
  <c r="Y126" i="11"/>
  <c r="X126" i="11"/>
  <c r="W126" i="11"/>
  <c r="V126" i="11"/>
  <c r="U126" i="11"/>
  <c r="T126" i="11"/>
  <c r="S126" i="11"/>
  <c r="Y125" i="11"/>
  <c r="X125" i="11"/>
  <c r="W125" i="11"/>
  <c r="V125" i="11"/>
  <c r="U125" i="11"/>
  <c r="T125" i="11"/>
  <c r="S125" i="11"/>
  <c r="Y116" i="11"/>
  <c r="X116" i="11"/>
  <c r="W116" i="11"/>
  <c r="V116" i="11"/>
  <c r="U116" i="11"/>
  <c r="T116" i="11"/>
  <c r="S116" i="11"/>
  <c r="Y115" i="11"/>
  <c r="X115" i="11"/>
  <c r="W115" i="11"/>
  <c r="V115" i="11"/>
  <c r="U115" i="11"/>
  <c r="T115" i="11"/>
  <c r="S115" i="11"/>
  <c r="Y114" i="11"/>
  <c r="X114" i="11"/>
  <c r="W114" i="11"/>
  <c r="V114" i="11"/>
  <c r="U114" i="11"/>
  <c r="T114" i="11"/>
  <c r="S114" i="11"/>
  <c r="Y113" i="11"/>
  <c r="X113" i="11"/>
  <c r="W113" i="11"/>
  <c r="V113" i="11"/>
  <c r="U113" i="11"/>
  <c r="T113" i="11"/>
  <c r="S113" i="11"/>
  <c r="Y112" i="11"/>
  <c r="X112" i="11"/>
  <c r="W112" i="11"/>
  <c r="V112" i="11"/>
  <c r="U112" i="11"/>
  <c r="T112" i="11"/>
  <c r="S112" i="11"/>
  <c r="Y111" i="11"/>
  <c r="X111" i="11"/>
  <c r="W111" i="11"/>
  <c r="V111" i="11"/>
  <c r="U111" i="11"/>
  <c r="T111" i="11"/>
  <c r="S111" i="11"/>
  <c r="Y110" i="11"/>
  <c r="X110" i="11"/>
  <c r="W110" i="11"/>
  <c r="V110" i="11"/>
  <c r="U110" i="11"/>
  <c r="T110" i="11"/>
  <c r="S110" i="11"/>
  <c r="Y109" i="11"/>
  <c r="X109" i="11"/>
  <c r="W109" i="11"/>
  <c r="V109" i="11"/>
  <c r="U109" i="11"/>
  <c r="T109" i="11"/>
  <c r="S109" i="11"/>
  <c r="Y108" i="11"/>
  <c r="X108" i="11"/>
  <c r="W108" i="11"/>
  <c r="V108" i="11"/>
  <c r="U108" i="11"/>
  <c r="T108" i="11"/>
  <c r="S108" i="11"/>
  <c r="Y107" i="11"/>
  <c r="X107" i="11"/>
  <c r="W107" i="11"/>
  <c r="V107" i="11"/>
  <c r="U107" i="11"/>
  <c r="T107" i="11"/>
  <c r="S107" i="11"/>
  <c r="Y98" i="11"/>
  <c r="X98" i="11"/>
  <c r="W98" i="11"/>
  <c r="V98" i="11"/>
  <c r="U98" i="11"/>
  <c r="T98" i="11"/>
  <c r="S98" i="11"/>
  <c r="Y97" i="11"/>
  <c r="X97" i="11"/>
  <c r="W97" i="11"/>
  <c r="V97" i="11"/>
  <c r="U97" i="11"/>
  <c r="T97" i="11"/>
  <c r="S97" i="11"/>
  <c r="Y96" i="11"/>
  <c r="X96" i="11"/>
  <c r="W96" i="11"/>
  <c r="V96" i="11"/>
  <c r="U96" i="11"/>
  <c r="T96" i="11"/>
  <c r="S96" i="11"/>
  <c r="Y95" i="11"/>
  <c r="X95" i="11"/>
  <c r="W95" i="11"/>
  <c r="V95" i="11"/>
  <c r="U95" i="11"/>
  <c r="T95" i="11"/>
  <c r="S95" i="11"/>
  <c r="Y94" i="11"/>
  <c r="X94" i="11"/>
  <c r="W94" i="11"/>
  <c r="V94" i="11"/>
  <c r="U94" i="11"/>
  <c r="T94" i="11"/>
  <c r="S94" i="11"/>
  <c r="Y93" i="11"/>
  <c r="X93" i="11"/>
  <c r="W93" i="11"/>
  <c r="V93" i="11"/>
  <c r="U93" i="11"/>
  <c r="T93" i="11"/>
  <c r="S93" i="11"/>
  <c r="Y92" i="11"/>
  <c r="X92" i="11"/>
  <c r="W92" i="11"/>
  <c r="V92" i="11"/>
  <c r="U92" i="11"/>
  <c r="T92" i="11"/>
  <c r="S92" i="11"/>
  <c r="Y91" i="11"/>
  <c r="X91" i="11"/>
  <c r="W91" i="11"/>
  <c r="V91" i="11"/>
  <c r="U91" i="11"/>
  <c r="T91" i="11"/>
  <c r="S91" i="11"/>
  <c r="Y90" i="11"/>
  <c r="X90" i="11"/>
  <c r="W90" i="11"/>
  <c r="V90" i="11"/>
  <c r="U90" i="11"/>
  <c r="T90" i="11"/>
  <c r="S90" i="11"/>
  <c r="Y80" i="11"/>
  <c r="X80" i="11"/>
  <c r="W80" i="11"/>
  <c r="V80" i="11"/>
  <c r="U80" i="11"/>
  <c r="T80" i="11"/>
  <c r="S80" i="11"/>
  <c r="Y79" i="11"/>
  <c r="X79" i="11"/>
  <c r="W79" i="11"/>
  <c r="V79" i="11"/>
  <c r="U79" i="11"/>
  <c r="T79" i="11"/>
  <c r="S79" i="11"/>
  <c r="Y78" i="11"/>
  <c r="X78" i="11"/>
  <c r="W78" i="11"/>
  <c r="V78" i="11"/>
  <c r="U78" i="11"/>
  <c r="T78" i="11"/>
  <c r="S78" i="11"/>
  <c r="Y77" i="11"/>
  <c r="X77" i="11"/>
  <c r="W77" i="11"/>
  <c r="V77" i="11"/>
  <c r="U77" i="11"/>
  <c r="T77" i="11"/>
  <c r="S77" i="11"/>
  <c r="Y76" i="11"/>
  <c r="X76" i="11"/>
  <c r="W76" i="11"/>
  <c r="V76" i="11"/>
  <c r="U76" i="11"/>
  <c r="T76" i="11"/>
  <c r="S76" i="11"/>
  <c r="Y75" i="11"/>
  <c r="X75" i="11"/>
  <c r="W75" i="11"/>
  <c r="V75" i="11"/>
  <c r="U75" i="11"/>
  <c r="T75" i="11"/>
  <c r="S75" i="11"/>
  <c r="Y74" i="11"/>
  <c r="X74" i="11"/>
  <c r="W74" i="11"/>
  <c r="V74" i="11"/>
  <c r="U74" i="11"/>
  <c r="T74" i="11"/>
  <c r="S74" i="11"/>
  <c r="Y73" i="11"/>
  <c r="X73" i="11"/>
  <c r="W73" i="11"/>
  <c r="V73" i="11"/>
  <c r="U73" i="11"/>
  <c r="T73" i="11"/>
  <c r="S73" i="11"/>
  <c r="Y72" i="11"/>
  <c r="X72" i="11"/>
  <c r="W72" i="11"/>
  <c r="V72" i="11"/>
  <c r="U72" i="11"/>
  <c r="T72" i="11"/>
  <c r="S72" i="11"/>
  <c r="Y63" i="11"/>
  <c r="X63" i="11"/>
  <c r="W63" i="11"/>
  <c r="V63" i="11"/>
  <c r="U63" i="11"/>
  <c r="T63" i="11"/>
  <c r="S63" i="11"/>
  <c r="Y62" i="11"/>
  <c r="X62" i="11"/>
  <c r="W62" i="11"/>
  <c r="V62" i="11"/>
  <c r="U62" i="11"/>
  <c r="T62" i="11"/>
  <c r="S62" i="11"/>
  <c r="Y61" i="11"/>
  <c r="X61" i="11"/>
  <c r="W61" i="11"/>
  <c r="V61" i="11"/>
  <c r="U61" i="11"/>
  <c r="T61" i="11"/>
  <c r="S61" i="11"/>
  <c r="Y60" i="11"/>
  <c r="X60" i="11"/>
  <c r="W60" i="11"/>
  <c r="V60" i="11"/>
  <c r="U60" i="11"/>
  <c r="T60" i="11"/>
  <c r="S60" i="11"/>
  <c r="Y59" i="11"/>
  <c r="X59" i="11"/>
  <c r="W59" i="11"/>
  <c r="V59" i="11"/>
  <c r="U59" i="11"/>
  <c r="T59" i="11"/>
  <c r="S59" i="11"/>
  <c r="Y58" i="11"/>
  <c r="X58" i="11"/>
  <c r="W58" i="11"/>
  <c r="V58" i="11"/>
  <c r="U58" i="11"/>
  <c r="T58" i="11"/>
  <c r="S58" i="11"/>
  <c r="Y57" i="11"/>
  <c r="X57" i="11"/>
  <c r="W57" i="11"/>
  <c r="V57" i="11"/>
  <c r="U57" i="11"/>
  <c r="T57" i="11"/>
  <c r="S57" i="11"/>
  <c r="Y56" i="11"/>
  <c r="X56" i="11"/>
  <c r="W56" i="11"/>
  <c r="V56" i="11"/>
  <c r="U56" i="11"/>
  <c r="T56" i="11"/>
  <c r="S56" i="11"/>
  <c r="Y55" i="11"/>
  <c r="X55" i="11"/>
  <c r="W55" i="11"/>
  <c r="V55" i="11"/>
  <c r="U55" i="11"/>
  <c r="T55" i="11"/>
  <c r="S55" i="11"/>
  <c r="Y46" i="11"/>
  <c r="X46" i="11"/>
  <c r="W46" i="11"/>
  <c r="V46" i="11"/>
  <c r="U46" i="11"/>
  <c r="T46" i="11"/>
  <c r="S46" i="11"/>
  <c r="Y45" i="11"/>
  <c r="X45" i="11"/>
  <c r="W45" i="11"/>
  <c r="V45" i="11"/>
  <c r="U45" i="11"/>
  <c r="T45" i="11"/>
  <c r="S45" i="11"/>
  <c r="Y44" i="11"/>
  <c r="X44" i="11"/>
  <c r="W44" i="11"/>
  <c r="V44" i="11"/>
  <c r="U44" i="11"/>
  <c r="T44" i="11"/>
  <c r="S44" i="11"/>
  <c r="Y43" i="11"/>
  <c r="X43" i="11"/>
  <c r="W43" i="11"/>
  <c r="V43" i="11"/>
  <c r="U43" i="11"/>
  <c r="T43" i="11"/>
  <c r="S43" i="11"/>
  <c r="Y42" i="11"/>
  <c r="X42" i="11"/>
  <c r="W42" i="11"/>
  <c r="V42" i="11"/>
  <c r="U42" i="11"/>
  <c r="T42" i="11"/>
  <c r="S42" i="11"/>
  <c r="Y41" i="11"/>
  <c r="X41" i="11"/>
  <c r="W41" i="11"/>
  <c r="V41" i="11"/>
  <c r="U41" i="11"/>
  <c r="T41" i="11"/>
  <c r="S41" i="11"/>
  <c r="Y40" i="11"/>
  <c r="X40" i="11"/>
  <c r="W40" i="11"/>
  <c r="V40" i="11"/>
  <c r="U40" i="11"/>
  <c r="T40" i="11"/>
  <c r="S40" i="11"/>
  <c r="Y39" i="11"/>
  <c r="X39" i="11"/>
  <c r="W39" i="11"/>
  <c r="V39" i="11"/>
  <c r="U39" i="11"/>
  <c r="T39" i="11"/>
  <c r="S39" i="11"/>
  <c r="Y38" i="11"/>
  <c r="X38" i="11"/>
  <c r="W38" i="11"/>
  <c r="V38" i="11"/>
  <c r="U38" i="11"/>
  <c r="T38" i="11"/>
  <c r="S38" i="11"/>
  <c r="Y37" i="11"/>
  <c r="X37" i="11"/>
  <c r="W37" i="11"/>
  <c r="V37" i="11"/>
  <c r="U37" i="11"/>
  <c r="T37" i="11"/>
  <c r="S37" i="11"/>
  <c r="S30" i="11"/>
  <c r="T30" i="11"/>
  <c r="U30" i="11"/>
  <c r="V30" i="11"/>
  <c r="W30" i="11"/>
  <c r="X30" i="11"/>
  <c r="Y30" i="11"/>
  <c r="Y29" i="11"/>
  <c r="X29" i="11"/>
  <c r="W29" i="11"/>
  <c r="V29" i="11"/>
  <c r="U29" i="11"/>
  <c r="T29" i="11"/>
  <c r="S29" i="11"/>
  <c r="Y28" i="11"/>
  <c r="X28" i="11"/>
  <c r="W28" i="11"/>
  <c r="V28" i="11"/>
  <c r="U28" i="11"/>
  <c r="T28" i="11"/>
  <c r="S28" i="11"/>
  <c r="Y27" i="11"/>
  <c r="X27" i="11"/>
  <c r="W27" i="11"/>
  <c r="V27" i="11"/>
  <c r="U27" i="11"/>
  <c r="T27" i="11"/>
  <c r="S27" i="11"/>
  <c r="Y26" i="11"/>
  <c r="X26" i="11"/>
  <c r="W26" i="11"/>
  <c r="V26" i="11"/>
  <c r="U26" i="11"/>
  <c r="T26" i="11"/>
  <c r="S26" i="11"/>
  <c r="Y25" i="11"/>
  <c r="X25" i="11"/>
  <c r="W25" i="11"/>
  <c r="V25" i="11"/>
  <c r="U25" i="11"/>
  <c r="T25" i="11"/>
  <c r="S25" i="11"/>
  <c r="Y24" i="11"/>
  <c r="X24" i="11"/>
  <c r="W24" i="11"/>
  <c r="V24" i="11"/>
  <c r="U24" i="11"/>
  <c r="T24" i="11"/>
  <c r="S24" i="11"/>
  <c r="Y23" i="11"/>
  <c r="X23" i="11"/>
  <c r="W23" i="11"/>
  <c r="V23" i="11"/>
  <c r="U23" i="11"/>
  <c r="T23" i="11"/>
  <c r="S23" i="11"/>
  <c r="Y22" i="11"/>
  <c r="X22" i="11"/>
  <c r="W22" i="11"/>
  <c r="V22" i="11"/>
  <c r="U22" i="11"/>
  <c r="T22" i="11"/>
  <c r="S22" i="11"/>
  <c r="Y21" i="11"/>
  <c r="X21" i="11"/>
  <c r="W21" i="11"/>
  <c r="V21" i="11"/>
  <c r="U21" i="11"/>
  <c r="T21" i="11"/>
  <c r="S21" i="11"/>
  <c r="Y20" i="11"/>
  <c r="X20" i="11"/>
  <c r="W20" i="11"/>
  <c r="V20" i="11"/>
  <c r="U20" i="11"/>
  <c r="T20" i="11"/>
  <c r="S20" i="11"/>
  <c r="H129" i="11"/>
  <c r="G129" i="11"/>
  <c r="G128" i="11"/>
  <c r="H126" i="11"/>
  <c r="G126" i="11"/>
  <c r="H125" i="11"/>
  <c r="G125" i="11"/>
  <c r="G111" i="11"/>
  <c r="H109" i="11"/>
  <c r="G109" i="11"/>
  <c r="H108" i="11"/>
  <c r="G108" i="11"/>
  <c r="G107" i="11"/>
  <c r="H93" i="11"/>
  <c r="G93" i="11"/>
  <c r="H92" i="11"/>
  <c r="G92" i="11"/>
  <c r="G91" i="11"/>
  <c r="H76" i="11"/>
  <c r="G76" i="11"/>
  <c r="H75" i="11"/>
  <c r="G75" i="11"/>
  <c r="G74" i="11"/>
  <c r="H72" i="11"/>
  <c r="G72" i="11"/>
  <c r="H59" i="11"/>
  <c r="G59" i="11"/>
  <c r="G58" i="11"/>
  <c r="H56" i="11"/>
  <c r="G56" i="11"/>
  <c r="H55" i="11"/>
  <c r="G55" i="11"/>
  <c r="H42" i="11"/>
  <c r="G42" i="11"/>
  <c r="G41" i="11"/>
  <c r="H40" i="11"/>
  <c r="G40" i="11"/>
  <c r="H39" i="11"/>
  <c r="G39" i="11"/>
  <c r="G38" i="11"/>
  <c r="L129" i="11"/>
  <c r="K129" i="11"/>
  <c r="J129" i="11"/>
  <c r="I129" i="11"/>
  <c r="F129" i="11"/>
  <c r="L128" i="11"/>
  <c r="K128" i="11"/>
  <c r="J128" i="11"/>
  <c r="I128" i="11"/>
  <c r="H128" i="11"/>
  <c r="F128" i="11"/>
  <c r="L127" i="11"/>
  <c r="K127" i="11"/>
  <c r="J127" i="11"/>
  <c r="I127" i="11"/>
  <c r="H127" i="11"/>
  <c r="G127" i="11"/>
  <c r="F127" i="11"/>
  <c r="L126" i="11"/>
  <c r="K126" i="11"/>
  <c r="J126" i="11"/>
  <c r="I126" i="11"/>
  <c r="F126" i="11"/>
  <c r="L125" i="11"/>
  <c r="K125" i="11"/>
  <c r="J125" i="11"/>
  <c r="I125" i="11"/>
  <c r="F125" i="11"/>
  <c r="L111" i="11"/>
  <c r="K111" i="11"/>
  <c r="J111" i="11"/>
  <c r="I111" i="11"/>
  <c r="H111" i="11"/>
  <c r="F111" i="11"/>
  <c r="L110" i="11"/>
  <c r="K110" i="11"/>
  <c r="J110" i="11"/>
  <c r="I110" i="11"/>
  <c r="H110" i="11"/>
  <c r="G110" i="11"/>
  <c r="F110" i="11"/>
  <c r="L109" i="11"/>
  <c r="K109" i="11"/>
  <c r="J109" i="11"/>
  <c r="I109" i="11"/>
  <c r="F109" i="11"/>
  <c r="L108" i="11"/>
  <c r="K108" i="11"/>
  <c r="J108" i="11"/>
  <c r="I108" i="11"/>
  <c r="F108" i="11"/>
  <c r="L107" i="11"/>
  <c r="K107" i="11"/>
  <c r="J107" i="11"/>
  <c r="I107" i="11"/>
  <c r="H107" i="11"/>
  <c r="F107" i="11"/>
  <c r="L94" i="11"/>
  <c r="K94" i="11"/>
  <c r="J94" i="11"/>
  <c r="I94" i="11"/>
  <c r="H94" i="11"/>
  <c r="G94" i="11"/>
  <c r="F94" i="11"/>
  <c r="L93" i="11"/>
  <c r="K93" i="11"/>
  <c r="J93" i="11"/>
  <c r="I93" i="11"/>
  <c r="F93" i="11"/>
  <c r="L92" i="11"/>
  <c r="K92" i="11"/>
  <c r="J92" i="11"/>
  <c r="I92" i="11"/>
  <c r="F92" i="11"/>
  <c r="L91" i="11"/>
  <c r="K91" i="11"/>
  <c r="J91" i="11"/>
  <c r="I91" i="11"/>
  <c r="H91" i="11"/>
  <c r="F91" i="11"/>
  <c r="L90" i="11"/>
  <c r="K90" i="11"/>
  <c r="J90" i="11"/>
  <c r="I90" i="11"/>
  <c r="H90" i="11"/>
  <c r="G90" i="11"/>
  <c r="F90" i="11"/>
  <c r="L76" i="11"/>
  <c r="K76" i="11"/>
  <c r="J76" i="11"/>
  <c r="I76" i="11"/>
  <c r="F76" i="11"/>
  <c r="L75" i="11"/>
  <c r="K75" i="11"/>
  <c r="J75" i="11"/>
  <c r="I75" i="11"/>
  <c r="F75" i="11"/>
  <c r="L74" i="11"/>
  <c r="K74" i="11"/>
  <c r="J74" i="11"/>
  <c r="I74" i="11"/>
  <c r="H74" i="11"/>
  <c r="F74" i="11"/>
  <c r="L73" i="11"/>
  <c r="K73" i="11"/>
  <c r="J73" i="11"/>
  <c r="I73" i="11"/>
  <c r="H73" i="11"/>
  <c r="G73" i="11"/>
  <c r="F73" i="11"/>
  <c r="L72" i="11"/>
  <c r="K72" i="11"/>
  <c r="J72" i="11"/>
  <c r="I72" i="11"/>
  <c r="F72" i="11"/>
  <c r="L59" i="11"/>
  <c r="K59" i="11"/>
  <c r="J59" i="11"/>
  <c r="I59" i="11"/>
  <c r="F59" i="11"/>
  <c r="L58" i="11"/>
  <c r="K58" i="11"/>
  <c r="J58" i="11"/>
  <c r="I58" i="11"/>
  <c r="H58" i="11"/>
  <c r="F58" i="11"/>
  <c r="L57" i="11"/>
  <c r="K57" i="11"/>
  <c r="J57" i="11"/>
  <c r="I57" i="11"/>
  <c r="H57" i="11"/>
  <c r="G57" i="11"/>
  <c r="F57" i="11"/>
  <c r="L56" i="11"/>
  <c r="K56" i="11"/>
  <c r="J56" i="11"/>
  <c r="I56" i="11"/>
  <c r="F56" i="11"/>
  <c r="L55" i="11"/>
  <c r="K55" i="11"/>
  <c r="J55" i="11"/>
  <c r="I55" i="11"/>
  <c r="F55" i="11"/>
  <c r="F42" i="11"/>
  <c r="I42" i="11"/>
  <c r="J42" i="11"/>
  <c r="K42" i="11"/>
  <c r="L42" i="11"/>
  <c r="L41" i="11"/>
  <c r="K41" i="11"/>
  <c r="J41" i="11"/>
  <c r="I41" i="11"/>
  <c r="H41" i="11"/>
  <c r="F41" i="11"/>
  <c r="L40" i="11"/>
  <c r="K40" i="11"/>
  <c r="J40" i="11"/>
  <c r="I40" i="11"/>
  <c r="F40" i="11"/>
  <c r="L39" i="11"/>
  <c r="K39" i="11"/>
  <c r="J39" i="11"/>
  <c r="I39" i="11"/>
  <c r="F39" i="11"/>
  <c r="L38" i="11"/>
  <c r="K38" i="11"/>
  <c r="J38" i="11"/>
  <c r="I38" i="11"/>
  <c r="H38" i="11"/>
  <c r="F38" i="11"/>
  <c r="L37" i="11"/>
  <c r="K37" i="11"/>
  <c r="J37" i="11"/>
  <c r="I37" i="11"/>
  <c r="H37" i="11"/>
  <c r="G37" i="11"/>
  <c r="F37" i="11"/>
  <c r="A44" i="4" l="1"/>
  <c r="B45" i="4"/>
  <c r="B46" i="4"/>
  <c r="B47" i="4"/>
  <c r="B44" i="4"/>
  <c r="A10" i="12"/>
  <c r="C12" i="12"/>
  <c r="A12" i="12" s="1"/>
  <c r="C13" i="12"/>
  <c r="A13" i="12" s="1"/>
  <c r="C14" i="12"/>
  <c r="A14" i="12" s="1"/>
  <c r="A4" i="12"/>
  <c r="L4" i="12" s="1"/>
  <c r="M3" i="12"/>
  <c r="X3" i="12" s="1"/>
  <c r="L3" i="12"/>
  <c r="K3" i="12"/>
  <c r="J3" i="12"/>
  <c r="I3" i="12"/>
  <c r="H3" i="12"/>
  <c r="G3" i="12"/>
  <c r="F3" i="12"/>
  <c r="E3" i="12"/>
  <c r="D3" i="12"/>
  <c r="C3" i="12"/>
  <c r="B3" i="12"/>
  <c r="I4" i="12" l="1"/>
  <c r="A5" i="12"/>
  <c r="R3" i="12"/>
  <c r="B4" i="12"/>
  <c r="F4" i="12"/>
  <c r="O3" i="12"/>
  <c r="S3" i="12"/>
  <c r="W3" i="12"/>
  <c r="C4" i="12"/>
  <c r="G4" i="12"/>
  <c r="K4" i="12"/>
  <c r="Q3" i="12"/>
  <c r="U3" i="12"/>
  <c r="E4" i="12"/>
  <c r="M4" i="12"/>
  <c r="N3" i="12"/>
  <c r="V3" i="12"/>
  <c r="J4" i="12"/>
  <c r="P3" i="12"/>
  <c r="T3" i="12"/>
  <c r="D4" i="12"/>
  <c r="H4" i="12"/>
  <c r="C12" i="2"/>
  <c r="C14" i="2" s="1"/>
  <c r="C16" i="2" s="1"/>
  <c r="C18" i="2" s="1"/>
  <c r="C20" i="2" s="1"/>
  <c r="C22" i="2" s="1"/>
  <c r="C24" i="2" s="1"/>
  <c r="C26" i="2" s="1"/>
  <c r="C13" i="2"/>
  <c r="C15" i="2" s="1"/>
  <c r="C17" i="2" s="1"/>
  <c r="C19" i="2" s="1"/>
  <c r="C21" i="2" s="1"/>
  <c r="C23" i="2" s="1"/>
  <c r="C25" i="2" s="1"/>
  <c r="C11" i="2"/>
  <c r="X4" i="12" l="1"/>
  <c r="T4" i="12"/>
  <c r="P4" i="12"/>
  <c r="R4" i="12"/>
  <c r="M5" i="12"/>
  <c r="U4" i="12"/>
  <c r="W4" i="12"/>
  <c r="S4" i="12"/>
  <c r="O4" i="12"/>
  <c r="V4" i="12"/>
  <c r="N4" i="12"/>
  <c r="Q4" i="12"/>
  <c r="L5" i="12"/>
  <c r="H5" i="12"/>
  <c r="D5" i="12"/>
  <c r="J5" i="12"/>
  <c r="B5" i="12"/>
  <c r="E5" i="12"/>
  <c r="K5" i="12"/>
  <c r="G5" i="12"/>
  <c r="C5" i="12"/>
  <c r="F5" i="12"/>
  <c r="A6" i="12"/>
  <c r="I5" i="12"/>
  <c r="A126" i="11"/>
  <c r="A127" i="11" s="1"/>
  <c r="A128" i="11" s="1"/>
  <c r="N125" i="11"/>
  <c r="A108" i="11"/>
  <c r="N107" i="11"/>
  <c r="A91" i="11"/>
  <c r="N90" i="11"/>
  <c r="A73" i="11"/>
  <c r="N72" i="11"/>
  <c r="A56" i="11"/>
  <c r="N55" i="11"/>
  <c r="A38" i="11"/>
  <c r="N37" i="11"/>
  <c r="A21" i="11"/>
  <c r="N20" i="11"/>
  <c r="A3" i="11"/>
  <c r="A8" i="1"/>
  <c r="N2" i="11"/>
  <c r="L6" i="12" l="1"/>
  <c r="H6" i="12"/>
  <c r="D6" i="12"/>
  <c r="B6" i="12"/>
  <c r="I6" i="12"/>
  <c r="E6" i="12"/>
  <c r="K6" i="12"/>
  <c r="G6" i="12"/>
  <c r="C6" i="12"/>
  <c r="J6" i="12"/>
  <c r="F6" i="12"/>
  <c r="X5" i="12"/>
  <c r="T5" i="12"/>
  <c r="P5" i="12"/>
  <c r="R5" i="12"/>
  <c r="U5" i="12"/>
  <c r="W5" i="12"/>
  <c r="S5" i="12"/>
  <c r="O5" i="12"/>
  <c r="V5" i="12"/>
  <c r="N5" i="12"/>
  <c r="M6" i="12"/>
  <c r="Q5" i="12"/>
  <c r="A4" i="11"/>
  <c r="N3" i="11"/>
  <c r="N126" i="11"/>
  <c r="A129" i="11"/>
  <c r="N127" i="11"/>
  <c r="N108" i="11"/>
  <c r="A109" i="11"/>
  <c r="N91" i="11"/>
  <c r="A92" i="11"/>
  <c r="A74" i="11"/>
  <c r="N73" i="11"/>
  <c r="N56" i="11"/>
  <c r="A57" i="11"/>
  <c r="N38" i="11"/>
  <c r="A39" i="11"/>
  <c r="A22" i="11"/>
  <c r="N21" i="11"/>
  <c r="P12" i="1"/>
  <c r="Q12" i="1"/>
  <c r="R12" i="1"/>
  <c r="S12" i="1"/>
  <c r="P13" i="1"/>
  <c r="Q13" i="1"/>
  <c r="R13" i="1"/>
  <c r="S13" i="1"/>
  <c r="P14" i="1"/>
  <c r="Q14" i="1"/>
  <c r="R14" i="1"/>
  <c r="S14" i="1"/>
  <c r="P15" i="1"/>
  <c r="Q15" i="1"/>
  <c r="R15" i="1"/>
  <c r="S15" i="1"/>
  <c r="P16" i="1"/>
  <c r="Q16" i="1"/>
  <c r="R16" i="1"/>
  <c r="S16" i="1"/>
  <c r="P17" i="1"/>
  <c r="Q17" i="1"/>
  <c r="R17" i="1"/>
  <c r="S17" i="1"/>
  <c r="P18" i="1"/>
  <c r="Q18" i="1"/>
  <c r="R18" i="1"/>
  <c r="S18" i="1"/>
  <c r="P19" i="1"/>
  <c r="Q19" i="1"/>
  <c r="R19" i="1"/>
  <c r="S19" i="1"/>
  <c r="P20" i="1"/>
  <c r="Q20" i="1"/>
  <c r="R20" i="1"/>
  <c r="S20" i="1"/>
  <c r="P21" i="1"/>
  <c r="Q21" i="1"/>
  <c r="R21" i="1"/>
  <c r="S21" i="1"/>
  <c r="P22" i="1"/>
  <c r="Q22" i="1"/>
  <c r="R22" i="1"/>
  <c r="S22" i="1"/>
  <c r="P23" i="1"/>
  <c r="Q23" i="1"/>
  <c r="R23" i="1"/>
  <c r="S23" i="1"/>
  <c r="P24" i="1"/>
  <c r="Q24" i="1"/>
  <c r="R24" i="1"/>
  <c r="S24" i="1"/>
  <c r="P25" i="1"/>
  <c r="Q25" i="1"/>
  <c r="R25" i="1"/>
  <c r="S25" i="1"/>
  <c r="P26" i="1"/>
  <c r="Q26" i="1"/>
  <c r="R26" i="1"/>
  <c r="S26" i="1"/>
  <c r="P27" i="1"/>
  <c r="Q27" i="1"/>
  <c r="R27" i="1"/>
  <c r="S27" i="1"/>
  <c r="P28" i="1"/>
  <c r="Q28" i="1"/>
  <c r="R28" i="1"/>
  <c r="S28" i="1"/>
  <c r="P29" i="1"/>
  <c r="Q29" i="1"/>
  <c r="R29" i="1"/>
  <c r="S29" i="1"/>
  <c r="P30" i="1"/>
  <c r="Q30" i="1"/>
  <c r="R30" i="1"/>
  <c r="S30" i="1"/>
  <c r="P31" i="1"/>
  <c r="Q31" i="1"/>
  <c r="R31" i="1"/>
  <c r="S31" i="1"/>
  <c r="P32" i="1"/>
  <c r="Q32" i="1"/>
  <c r="R32" i="1"/>
  <c r="S32" i="1"/>
  <c r="P33" i="1"/>
  <c r="Q33" i="1"/>
  <c r="R33" i="1"/>
  <c r="S33" i="1"/>
  <c r="P34" i="1"/>
  <c r="Q34" i="1"/>
  <c r="R34" i="1"/>
  <c r="S34" i="1"/>
  <c r="P35" i="1"/>
  <c r="Q35" i="1"/>
  <c r="R35" i="1"/>
  <c r="S35" i="1"/>
  <c r="P36" i="1"/>
  <c r="Q36" i="1"/>
  <c r="R36" i="1"/>
  <c r="S36" i="1"/>
  <c r="P37" i="1"/>
  <c r="Q37" i="1"/>
  <c r="R37" i="1"/>
  <c r="S37" i="1"/>
  <c r="P38" i="1"/>
  <c r="Q38" i="1"/>
  <c r="R38" i="1"/>
  <c r="S38" i="1"/>
  <c r="P39" i="1"/>
  <c r="Q39" i="1"/>
  <c r="R39" i="1"/>
  <c r="S39" i="1"/>
  <c r="P40" i="1"/>
  <c r="Q40" i="1"/>
  <c r="R40" i="1"/>
  <c r="S40" i="1"/>
  <c r="P41" i="1"/>
  <c r="Q41" i="1"/>
  <c r="R41" i="1"/>
  <c r="S41" i="1"/>
  <c r="P42" i="1"/>
  <c r="Q42" i="1"/>
  <c r="R42" i="1"/>
  <c r="S42" i="1"/>
  <c r="P43" i="1"/>
  <c r="Q43" i="1"/>
  <c r="R43" i="1"/>
  <c r="S43" i="1"/>
  <c r="P44" i="1"/>
  <c r="Q44" i="1"/>
  <c r="R44" i="1"/>
  <c r="S44" i="1"/>
  <c r="P45" i="1"/>
  <c r="Q45" i="1"/>
  <c r="R45" i="1"/>
  <c r="S45" i="1"/>
  <c r="P46" i="1"/>
  <c r="Q46" i="1"/>
  <c r="R46" i="1"/>
  <c r="S46" i="1"/>
  <c r="P47" i="1"/>
  <c r="Q47" i="1"/>
  <c r="R47" i="1"/>
  <c r="S47" i="1"/>
  <c r="P48" i="1"/>
  <c r="Q48" i="1"/>
  <c r="R48" i="1"/>
  <c r="S48" i="1"/>
  <c r="P49" i="1"/>
  <c r="Q49" i="1"/>
  <c r="R49" i="1"/>
  <c r="S49" i="1"/>
  <c r="P50" i="1"/>
  <c r="Q50" i="1"/>
  <c r="R50" i="1"/>
  <c r="S50" i="1"/>
  <c r="P51" i="1"/>
  <c r="Q51" i="1"/>
  <c r="R51" i="1"/>
  <c r="S51" i="1"/>
  <c r="P52" i="1"/>
  <c r="Q52" i="1"/>
  <c r="R52" i="1"/>
  <c r="S52" i="1"/>
  <c r="P53" i="1"/>
  <c r="Q53" i="1"/>
  <c r="R53" i="1"/>
  <c r="S53" i="1"/>
  <c r="P54" i="1"/>
  <c r="Q54" i="1"/>
  <c r="R54" i="1"/>
  <c r="S54" i="1"/>
  <c r="P55" i="1"/>
  <c r="Q55" i="1"/>
  <c r="R55" i="1"/>
  <c r="S55" i="1"/>
  <c r="P56" i="1"/>
  <c r="Q56" i="1"/>
  <c r="R56" i="1"/>
  <c r="S56" i="1"/>
  <c r="P57" i="1"/>
  <c r="Q57" i="1"/>
  <c r="R57" i="1"/>
  <c r="S57" i="1"/>
  <c r="P58" i="1"/>
  <c r="Q58" i="1"/>
  <c r="R58" i="1"/>
  <c r="S58" i="1"/>
  <c r="P59" i="1"/>
  <c r="Q59" i="1"/>
  <c r="R59" i="1"/>
  <c r="S59" i="1"/>
  <c r="P60" i="1"/>
  <c r="Q60" i="1"/>
  <c r="R60" i="1"/>
  <c r="S60" i="1"/>
  <c r="P61" i="1"/>
  <c r="Q61" i="1"/>
  <c r="R61" i="1"/>
  <c r="S61" i="1"/>
  <c r="P62" i="1"/>
  <c r="Q62" i="1"/>
  <c r="R62" i="1"/>
  <c r="S62" i="1"/>
  <c r="P63" i="1"/>
  <c r="Q63" i="1"/>
  <c r="R63" i="1"/>
  <c r="S63" i="1"/>
  <c r="P64" i="1"/>
  <c r="Q64" i="1"/>
  <c r="R64" i="1"/>
  <c r="S64" i="1"/>
  <c r="P65" i="1"/>
  <c r="Q65" i="1"/>
  <c r="R65" i="1"/>
  <c r="S65" i="1"/>
  <c r="P66" i="1"/>
  <c r="Q66" i="1"/>
  <c r="R66" i="1"/>
  <c r="S66" i="1"/>
  <c r="P67" i="1"/>
  <c r="Q67" i="1"/>
  <c r="R67" i="1"/>
  <c r="S67" i="1"/>
  <c r="P68" i="1"/>
  <c r="Q68" i="1"/>
  <c r="R68" i="1"/>
  <c r="S68" i="1"/>
  <c r="P69" i="1"/>
  <c r="Q69" i="1"/>
  <c r="R69" i="1"/>
  <c r="S69" i="1"/>
  <c r="P70" i="1"/>
  <c r="Q70" i="1"/>
  <c r="R70" i="1"/>
  <c r="S70" i="1"/>
  <c r="P71" i="1"/>
  <c r="Q71" i="1"/>
  <c r="R71" i="1"/>
  <c r="S71" i="1"/>
  <c r="P72" i="1"/>
  <c r="Q72" i="1"/>
  <c r="R72" i="1"/>
  <c r="S72" i="1"/>
  <c r="P73" i="1"/>
  <c r="Q73" i="1"/>
  <c r="R73" i="1"/>
  <c r="S73" i="1"/>
  <c r="P74" i="1"/>
  <c r="Q74" i="1"/>
  <c r="R74" i="1"/>
  <c r="S74" i="1"/>
  <c r="P75" i="1"/>
  <c r="Q75" i="1"/>
  <c r="R75" i="1"/>
  <c r="S75" i="1"/>
  <c r="P76" i="1"/>
  <c r="Q76" i="1"/>
  <c r="R76" i="1"/>
  <c r="S76" i="1"/>
  <c r="P77" i="1"/>
  <c r="Q77" i="1"/>
  <c r="R77" i="1"/>
  <c r="S77" i="1"/>
  <c r="P78" i="1"/>
  <c r="Q78" i="1"/>
  <c r="R78" i="1"/>
  <c r="S78" i="1"/>
  <c r="P79" i="1"/>
  <c r="Q79" i="1"/>
  <c r="R79" i="1"/>
  <c r="S79" i="1"/>
  <c r="P80" i="1"/>
  <c r="Q80" i="1"/>
  <c r="R80" i="1"/>
  <c r="S80" i="1"/>
  <c r="P81" i="1"/>
  <c r="Q81" i="1"/>
  <c r="R81" i="1"/>
  <c r="S81" i="1"/>
  <c r="P82" i="1"/>
  <c r="Q82" i="1"/>
  <c r="R82" i="1"/>
  <c r="S82" i="1"/>
  <c r="P83" i="1"/>
  <c r="Q83" i="1"/>
  <c r="R83" i="1"/>
  <c r="S83" i="1"/>
  <c r="P84" i="1"/>
  <c r="Q84" i="1"/>
  <c r="R84" i="1"/>
  <c r="S84" i="1"/>
  <c r="P85" i="1"/>
  <c r="Q85" i="1"/>
  <c r="R85" i="1"/>
  <c r="S85" i="1"/>
  <c r="P86" i="1"/>
  <c r="Q86" i="1"/>
  <c r="R86" i="1"/>
  <c r="S86" i="1"/>
  <c r="P87" i="1"/>
  <c r="Q87" i="1"/>
  <c r="R87" i="1"/>
  <c r="S87" i="1"/>
  <c r="P88" i="1"/>
  <c r="Q88" i="1"/>
  <c r="R88" i="1"/>
  <c r="S88" i="1"/>
  <c r="P89" i="1"/>
  <c r="Q89" i="1"/>
  <c r="R89" i="1"/>
  <c r="S89" i="1"/>
  <c r="P90" i="1"/>
  <c r="Q90" i="1"/>
  <c r="R90" i="1"/>
  <c r="S90" i="1"/>
  <c r="P91" i="1"/>
  <c r="Q91" i="1"/>
  <c r="R91" i="1"/>
  <c r="S91" i="1"/>
  <c r="P92" i="1"/>
  <c r="Q92" i="1"/>
  <c r="R92" i="1"/>
  <c r="S92" i="1"/>
  <c r="P93" i="1"/>
  <c r="Q93" i="1"/>
  <c r="R93" i="1"/>
  <c r="S93" i="1"/>
  <c r="P94" i="1"/>
  <c r="Q94" i="1"/>
  <c r="R94" i="1"/>
  <c r="S94" i="1"/>
  <c r="P95" i="1"/>
  <c r="Q95" i="1"/>
  <c r="R95" i="1"/>
  <c r="S95" i="1"/>
  <c r="P96" i="1"/>
  <c r="Q96" i="1"/>
  <c r="R96" i="1"/>
  <c r="S96" i="1"/>
  <c r="P97" i="1"/>
  <c r="Q97" i="1"/>
  <c r="R97" i="1"/>
  <c r="S97" i="1"/>
  <c r="P98" i="1"/>
  <c r="Q98" i="1"/>
  <c r="R98" i="1"/>
  <c r="S98" i="1"/>
  <c r="P99" i="1"/>
  <c r="Q99" i="1"/>
  <c r="R99" i="1"/>
  <c r="S99" i="1"/>
  <c r="P100" i="1"/>
  <c r="Q100" i="1"/>
  <c r="R100" i="1"/>
  <c r="S100" i="1"/>
  <c r="P101" i="1"/>
  <c r="Q101" i="1"/>
  <c r="R101" i="1"/>
  <c r="S101" i="1"/>
  <c r="P102" i="1"/>
  <c r="Q102" i="1"/>
  <c r="R102" i="1"/>
  <c r="S102" i="1"/>
  <c r="P103" i="1"/>
  <c r="Q103" i="1"/>
  <c r="R103" i="1"/>
  <c r="S103" i="1"/>
  <c r="P104" i="1"/>
  <c r="Q104" i="1"/>
  <c r="R104" i="1"/>
  <c r="S104" i="1"/>
  <c r="P105" i="1"/>
  <c r="Q105" i="1"/>
  <c r="R105" i="1"/>
  <c r="S105" i="1"/>
  <c r="P106" i="1"/>
  <c r="Q106" i="1"/>
  <c r="R106" i="1"/>
  <c r="S106" i="1"/>
  <c r="P107" i="1"/>
  <c r="Q107" i="1"/>
  <c r="R107" i="1"/>
  <c r="S107" i="1"/>
  <c r="P108" i="1"/>
  <c r="Q108" i="1"/>
  <c r="R108" i="1"/>
  <c r="S108" i="1"/>
  <c r="P109" i="1"/>
  <c r="Q109" i="1"/>
  <c r="R109" i="1"/>
  <c r="S109" i="1"/>
  <c r="P110" i="1"/>
  <c r="Q110" i="1"/>
  <c r="R110" i="1"/>
  <c r="S110" i="1"/>
  <c r="P111" i="1"/>
  <c r="Q111" i="1"/>
  <c r="R111" i="1"/>
  <c r="S111" i="1"/>
  <c r="P112" i="1"/>
  <c r="Q112" i="1"/>
  <c r="R112" i="1"/>
  <c r="S112" i="1"/>
  <c r="P113" i="1"/>
  <c r="Q113" i="1"/>
  <c r="R113" i="1"/>
  <c r="S113" i="1"/>
  <c r="P114" i="1"/>
  <c r="Q114" i="1"/>
  <c r="R114" i="1"/>
  <c r="S114" i="1"/>
  <c r="P115" i="1"/>
  <c r="Q115" i="1"/>
  <c r="R115" i="1"/>
  <c r="S115" i="1"/>
  <c r="P116" i="1"/>
  <c r="Q116" i="1"/>
  <c r="R116" i="1"/>
  <c r="S116" i="1"/>
  <c r="P117" i="1"/>
  <c r="Q117" i="1"/>
  <c r="R117" i="1"/>
  <c r="S117" i="1"/>
  <c r="P118" i="1"/>
  <c r="Q118" i="1"/>
  <c r="R118" i="1"/>
  <c r="S118" i="1"/>
  <c r="P119" i="1"/>
  <c r="Q119" i="1"/>
  <c r="R119" i="1"/>
  <c r="S119" i="1"/>
  <c r="P120" i="1"/>
  <c r="Q120" i="1"/>
  <c r="R120" i="1"/>
  <c r="S120" i="1"/>
  <c r="P121" i="1"/>
  <c r="Q121" i="1"/>
  <c r="R121" i="1"/>
  <c r="S121" i="1"/>
  <c r="P122" i="1"/>
  <c r="Q122" i="1"/>
  <c r="R122" i="1"/>
  <c r="S122" i="1"/>
  <c r="P123" i="1"/>
  <c r="Q123" i="1"/>
  <c r="R123" i="1"/>
  <c r="S123" i="1"/>
  <c r="P124" i="1"/>
  <c r="Q124" i="1"/>
  <c r="R124" i="1"/>
  <c r="S124" i="1"/>
  <c r="P125" i="1"/>
  <c r="Q125" i="1"/>
  <c r="R125" i="1"/>
  <c r="S125" i="1"/>
  <c r="P126" i="1"/>
  <c r="Q126" i="1"/>
  <c r="R126" i="1"/>
  <c r="S126" i="1"/>
  <c r="P127" i="1"/>
  <c r="Q127" i="1"/>
  <c r="R127" i="1"/>
  <c r="S127" i="1"/>
  <c r="P128" i="1"/>
  <c r="Q128" i="1"/>
  <c r="R128" i="1"/>
  <c r="S128" i="1"/>
  <c r="P129" i="1"/>
  <c r="Q129" i="1"/>
  <c r="R129" i="1"/>
  <c r="S129" i="1"/>
  <c r="P130" i="1"/>
  <c r="Q130" i="1"/>
  <c r="R130" i="1"/>
  <c r="S130" i="1"/>
  <c r="P131" i="1"/>
  <c r="Q131" i="1"/>
  <c r="R131" i="1"/>
  <c r="S131" i="1"/>
  <c r="P132" i="1"/>
  <c r="Q132" i="1"/>
  <c r="R132" i="1"/>
  <c r="S132" i="1"/>
  <c r="Q11" i="1"/>
  <c r="R11" i="1"/>
  <c r="S11" i="1"/>
  <c r="P11" i="1"/>
  <c r="T8" i="8"/>
  <c r="T9" i="8"/>
  <c r="T6" i="8"/>
  <c r="T7" i="8"/>
  <c r="AF9" i="8"/>
  <c r="AE9" i="8"/>
  <c r="AD9" i="8"/>
  <c r="AC9" i="8"/>
  <c r="AB9" i="8"/>
  <c r="AA9" i="8"/>
  <c r="Z9" i="8"/>
  <c r="Y9" i="8"/>
  <c r="X9" i="8"/>
  <c r="W9" i="8"/>
  <c r="V9" i="8"/>
  <c r="U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B9" i="8"/>
  <c r="AF8" i="8"/>
  <c r="AE8" i="8"/>
  <c r="AD8" i="8"/>
  <c r="AC8" i="8"/>
  <c r="AB8" i="8"/>
  <c r="AA8" i="8"/>
  <c r="Z8" i="8"/>
  <c r="Y8" i="8"/>
  <c r="X8" i="8"/>
  <c r="W8" i="8"/>
  <c r="V8" i="8"/>
  <c r="U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B8" i="8"/>
  <c r="AF7" i="8"/>
  <c r="AE7" i="8"/>
  <c r="AD7" i="8"/>
  <c r="AC7" i="8"/>
  <c r="AB7" i="8"/>
  <c r="AA7" i="8"/>
  <c r="Z7" i="8"/>
  <c r="Y7" i="8"/>
  <c r="X7" i="8"/>
  <c r="W7" i="8"/>
  <c r="V7" i="8"/>
  <c r="U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B7" i="8"/>
  <c r="X6" i="12" l="1"/>
  <c r="T6" i="12"/>
  <c r="P6" i="12"/>
  <c r="N6" i="12"/>
  <c r="U6" i="12"/>
  <c r="W6" i="12"/>
  <c r="S6" i="12"/>
  <c r="O6" i="12"/>
  <c r="R6" i="12"/>
  <c r="Q6" i="12"/>
  <c r="V6" i="12"/>
  <c r="N4" i="11"/>
  <c r="A5" i="11"/>
  <c r="N128" i="11"/>
  <c r="A110" i="11"/>
  <c r="N109" i="11"/>
  <c r="A93" i="11"/>
  <c r="N92" i="11"/>
  <c r="A75" i="11"/>
  <c r="N74" i="11"/>
  <c r="A58" i="11"/>
  <c r="N57" i="11"/>
  <c r="A40" i="11"/>
  <c r="N39" i="11"/>
  <c r="N22" i="11"/>
  <c r="A23" i="11"/>
  <c r="X10" i="8"/>
  <c r="AB10" i="8"/>
  <c r="D10" i="8"/>
  <c r="H10" i="8"/>
  <c r="L10" i="8"/>
  <c r="P10" i="8"/>
  <c r="U10" i="8"/>
  <c r="Y10" i="8"/>
  <c r="AC10" i="8"/>
  <c r="E10" i="8"/>
  <c r="I10" i="8"/>
  <c r="M10" i="8"/>
  <c r="Q10" i="8"/>
  <c r="T10" i="8"/>
  <c r="AF10" i="8"/>
  <c r="B10" i="8"/>
  <c r="F10" i="8"/>
  <c r="J10" i="8"/>
  <c r="N10" i="8"/>
  <c r="R10" i="8"/>
  <c r="V10" i="8"/>
  <c r="Z10" i="8"/>
  <c r="AD10" i="8"/>
  <c r="C10" i="8"/>
  <c r="G10" i="8"/>
  <c r="K10" i="8"/>
  <c r="O10" i="8"/>
  <c r="S10" i="8"/>
  <c r="W10" i="8"/>
  <c r="AA10" i="8"/>
  <c r="AE10" i="8"/>
  <c r="AF7" i="6"/>
  <c r="AF8" i="6"/>
  <c r="AF9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B7" i="6"/>
  <c r="G45" i="9"/>
  <c r="F45" i="9"/>
  <c r="N5" i="11" l="1"/>
  <c r="A6" i="11"/>
  <c r="N129" i="11"/>
  <c r="A111" i="11"/>
  <c r="N110" i="11"/>
  <c r="N93" i="11"/>
  <c r="A94" i="11"/>
  <c r="N75" i="11"/>
  <c r="A76" i="11"/>
  <c r="N58" i="11"/>
  <c r="A59" i="11"/>
  <c r="A41" i="11"/>
  <c r="N40" i="11"/>
  <c r="N23" i="11"/>
  <c r="A24" i="11"/>
  <c r="A25" i="11" s="1"/>
  <c r="X10" i="6"/>
  <c r="T10" i="6"/>
  <c r="P10" i="6"/>
  <c r="L10" i="6"/>
  <c r="AE10" i="6"/>
  <c r="AA10" i="6"/>
  <c r="W10" i="6"/>
  <c r="S10" i="6"/>
  <c r="O10" i="6"/>
  <c r="K10" i="6"/>
  <c r="AB10" i="6"/>
  <c r="G10" i="6"/>
  <c r="C10" i="6"/>
  <c r="D10" i="6"/>
  <c r="H10" i="6"/>
  <c r="AC10" i="6"/>
  <c r="Y10" i="6"/>
  <c r="U10" i="6"/>
  <c r="Q10" i="6"/>
  <c r="M10" i="6"/>
  <c r="I10" i="6"/>
  <c r="E10" i="6"/>
  <c r="AF10" i="6"/>
  <c r="AD10" i="6"/>
  <c r="Z10" i="6"/>
  <c r="V10" i="6"/>
  <c r="R10" i="6"/>
  <c r="N10" i="6"/>
  <c r="J10" i="6"/>
  <c r="F10" i="6"/>
  <c r="N6" i="11" l="1"/>
  <c r="A26" i="11"/>
  <c r="N130" i="11"/>
  <c r="N111" i="11"/>
  <c r="N94" i="11"/>
  <c r="N76" i="11"/>
  <c r="N59" i="11"/>
  <c r="A42" i="11"/>
  <c r="N41" i="11"/>
  <c r="N24" i="11"/>
  <c r="B8" i="6"/>
  <c r="B9" i="6"/>
  <c r="N7" i="11" l="1"/>
  <c r="A27" i="11"/>
  <c r="N131" i="11"/>
  <c r="N112" i="11"/>
  <c r="N95" i="11"/>
  <c r="N77" i="11"/>
  <c r="N60" i="11"/>
  <c r="N42" i="11"/>
  <c r="N25" i="11"/>
  <c r="B10" i="6"/>
  <c r="AF6" i="8"/>
  <c r="AE6" i="8"/>
  <c r="AD6" i="8"/>
  <c r="AC6" i="8"/>
  <c r="AB6" i="8"/>
  <c r="AA6" i="8"/>
  <c r="Z6" i="8"/>
  <c r="Y6" i="8"/>
  <c r="X6" i="8"/>
  <c r="W6" i="8"/>
  <c r="V6" i="8"/>
  <c r="U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N8" i="11" l="1"/>
  <c r="N132" i="11"/>
  <c r="N113" i="11"/>
  <c r="N96" i="11"/>
  <c r="N78" i="11"/>
  <c r="N61" i="11"/>
  <c r="N43" i="11"/>
  <c r="N26" i="11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C6" i="6"/>
  <c r="D6" i="6"/>
  <c r="E6" i="6"/>
  <c r="F6" i="6"/>
  <c r="G6" i="6"/>
  <c r="H6" i="6"/>
  <c r="B6" i="6"/>
  <c r="N9" i="11" l="1"/>
  <c r="N133" i="11"/>
  <c r="N114" i="11"/>
  <c r="N97" i="11"/>
  <c r="N79" i="11"/>
  <c r="N62" i="11"/>
  <c r="N44" i="11"/>
  <c r="N27" i="11"/>
  <c r="N28" i="11" s="1"/>
  <c r="O11" i="2"/>
  <c r="O16" i="2"/>
  <c r="O26" i="2"/>
  <c r="O20" i="2"/>
  <c r="O21" i="2"/>
  <c r="O24" i="2"/>
  <c r="O14" i="2"/>
  <c r="O19" i="2"/>
  <c r="O25" i="2"/>
  <c r="O15" i="2"/>
  <c r="O17" i="2"/>
  <c r="O23" i="2"/>
  <c r="O22" i="2"/>
  <c r="O18" i="2"/>
  <c r="O12" i="2"/>
  <c r="O13" i="2"/>
  <c r="P13" i="2" l="1"/>
  <c r="P23" i="2"/>
  <c r="P17" i="2"/>
  <c r="P14" i="2"/>
  <c r="P26" i="2"/>
  <c r="P20" i="2"/>
  <c r="P12" i="2"/>
  <c r="P15" i="2"/>
  <c r="P24" i="2"/>
  <c r="P16" i="2"/>
  <c r="P19" i="2"/>
  <c r="P18" i="2"/>
  <c r="P22" i="2"/>
  <c r="P25" i="2"/>
  <c r="P21" i="2"/>
  <c r="P11" i="2"/>
  <c r="N29" i="11"/>
  <c r="N10" i="11"/>
  <c r="N134" i="11"/>
  <c r="N115" i="11"/>
  <c r="N98" i="11"/>
  <c r="N80" i="11"/>
  <c r="N63" i="11"/>
  <c r="N45" i="11"/>
  <c r="N11" i="11" l="1"/>
  <c r="N30" i="11"/>
  <c r="N116" i="11"/>
  <c r="N46" i="11"/>
  <c r="L19" i="2" l="1"/>
  <c r="L18" i="2"/>
  <c r="L25" i="2"/>
  <c r="L22" i="2"/>
  <c r="L13" i="2"/>
  <c r="L24" i="2"/>
  <c r="L17" i="2"/>
  <c r="L12" i="2"/>
  <c r="L15" i="2"/>
  <c r="L26" i="2"/>
  <c r="L20" i="2"/>
  <c r="L16" i="2"/>
  <c r="L21" i="2"/>
  <c r="L14" i="2"/>
  <c r="L11" i="2"/>
  <c r="L23" i="2"/>
  <c r="M25" i="2" l="1"/>
  <c r="M14" i="2"/>
  <c r="M26" i="2"/>
  <c r="M24" i="2"/>
  <c r="M18" i="2"/>
  <c r="M21" i="2"/>
  <c r="M19" i="2"/>
  <c r="M23" i="2"/>
  <c r="M12" i="2"/>
  <c r="M22" i="2"/>
  <c r="M20" i="2"/>
  <c r="M16" i="2"/>
  <c r="M13" i="2"/>
  <c r="M11" i="2"/>
  <c r="M15" i="2"/>
  <c r="M17" i="2"/>
  <c r="O98" i="11" l="1"/>
  <c r="O29" i="11"/>
  <c r="O43" i="11"/>
  <c r="R22" i="11"/>
  <c r="R45" i="11"/>
  <c r="P44" i="11"/>
  <c r="R25" i="11"/>
  <c r="O39" i="11"/>
  <c r="Q37" i="11"/>
  <c r="Q30" i="11"/>
  <c r="P43" i="11"/>
  <c r="P39" i="11"/>
  <c r="O26" i="11"/>
  <c r="Q39" i="11"/>
  <c r="Q23" i="11"/>
  <c r="O27" i="11"/>
  <c r="Q40" i="11"/>
  <c r="O24" i="11"/>
  <c r="R39" i="11"/>
  <c r="Q27" i="11"/>
  <c r="Q26" i="11"/>
  <c r="R37" i="11"/>
  <c r="R27" i="11"/>
  <c r="Q41" i="11"/>
  <c r="P29" i="11"/>
  <c r="R28" i="11"/>
  <c r="P24" i="11"/>
  <c r="O22" i="11"/>
  <c r="Q38" i="11"/>
  <c r="P23" i="11"/>
  <c r="O116" i="11"/>
  <c r="O115" i="11"/>
  <c r="R116" i="11"/>
  <c r="R115" i="11"/>
  <c r="R114" i="11"/>
  <c r="Q116" i="11"/>
  <c r="O114" i="11"/>
  <c r="P22" i="11" l="1"/>
  <c r="O25" i="11"/>
  <c r="O38" i="11"/>
  <c r="R44" i="11"/>
  <c r="P38" i="11"/>
  <c r="P28" i="11"/>
  <c r="P27" i="11"/>
  <c r="P30" i="11"/>
  <c r="P42" i="11"/>
  <c r="R40" i="11"/>
  <c r="O23" i="11"/>
  <c r="R29" i="11"/>
  <c r="Q43" i="11"/>
  <c r="R30" i="11"/>
  <c r="Q42" i="11"/>
  <c r="Q28" i="11"/>
  <c r="O28" i="11"/>
  <c r="O40" i="11"/>
  <c r="P45" i="11"/>
  <c r="P37" i="11"/>
  <c r="R43" i="11"/>
  <c r="O45" i="11"/>
  <c r="Q45" i="11"/>
  <c r="P25" i="11"/>
  <c r="Q44" i="11"/>
  <c r="O42" i="11"/>
  <c r="R23" i="11"/>
  <c r="P41" i="11"/>
  <c r="P26" i="11"/>
  <c r="R41" i="11"/>
  <c r="Q25" i="11"/>
  <c r="R38" i="11"/>
  <c r="O41" i="11"/>
  <c r="Q24" i="11"/>
  <c r="Q29" i="11"/>
  <c r="Q22" i="11"/>
  <c r="R24" i="11"/>
  <c r="O44" i="11"/>
  <c r="R26" i="11"/>
  <c r="O30" i="11"/>
  <c r="O37" i="11"/>
  <c r="P40" i="11"/>
  <c r="W4" i="11"/>
  <c r="R4" i="11"/>
  <c r="T4" i="11"/>
  <c r="V4" i="11"/>
  <c r="O4" i="11"/>
  <c r="U4" i="11"/>
  <c r="X4" i="11"/>
  <c r="Q4" i="11"/>
  <c r="P4" i="11"/>
  <c r="S4" i="11"/>
  <c r="Y4" i="11"/>
  <c r="R42" i="11"/>
  <c r="Q115" i="11"/>
  <c r="B125" i="11"/>
  <c r="E125" i="11"/>
  <c r="C125" i="11"/>
  <c r="D125" i="11"/>
  <c r="B126" i="11"/>
  <c r="Q3" i="11"/>
  <c r="U3" i="11"/>
  <c r="C129" i="11"/>
  <c r="B129" i="11"/>
  <c r="E129" i="11"/>
  <c r="W2" i="11"/>
  <c r="E128" i="11"/>
  <c r="U2" i="11"/>
  <c r="D127" i="11"/>
  <c r="S2" i="11"/>
  <c r="T3" i="11"/>
  <c r="D126" i="11"/>
  <c r="E126" i="11"/>
  <c r="D128" i="11"/>
  <c r="B128" i="11"/>
  <c r="O2" i="11"/>
  <c r="Q2" i="11"/>
  <c r="R2" i="11"/>
  <c r="Y2" i="11"/>
  <c r="D129" i="11"/>
  <c r="O3" i="11"/>
  <c r="R3" i="11"/>
  <c r="Y3" i="11"/>
  <c r="P3" i="11"/>
  <c r="X3" i="11"/>
  <c r="V2" i="11"/>
  <c r="B127" i="11"/>
  <c r="C127" i="11"/>
  <c r="C128" i="11"/>
  <c r="S3" i="11"/>
  <c r="V3" i="11"/>
  <c r="W3" i="11"/>
  <c r="C126" i="11"/>
  <c r="X2" i="11"/>
  <c r="T2" i="11"/>
  <c r="E127" i="11"/>
  <c r="P2" i="11"/>
  <c r="C110" i="11"/>
  <c r="D110" i="11"/>
  <c r="E111" i="11"/>
  <c r="E110" i="11"/>
  <c r="D111" i="11"/>
  <c r="B110" i="11"/>
  <c r="C111" i="11"/>
  <c r="E109" i="11"/>
  <c r="D109" i="11"/>
  <c r="B111" i="11"/>
  <c r="C109" i="11"/>
  <c r="B109" i="11"/>
  <c r="B42" i="11"/>
  <c r="E76" i="11"/>
  <c r="C93" i="11"/>
  <c r="E6" i="11"/>
  <c r="J21" i="11"/>
  <c r="F6" i="11"/>
  <c r="C23" i="11"/>
  <c r="D56" i="11"/>
  <c r="H6" i="11"/>
  <c r="E4" i="11"/>
  <c r="I4" i="11"/>
  <c r="F4" i="11"/>
  <c r="K6" i="11"/>
  <c r="H2" i="11"/>
  <c r="E41" i="11"/>
  <c r="C74" i="11"/>
  <c r="F21" i="11"/>
  <c r="L4" i="11"/>
  <c r="E91" i="11"/>
  <c r="B56" i="11"/>
  <c r="E92" i="11"/>
  <c r="I5" i="11"/>
  <c r="B4" i="11"/>
  <c r="G20" i="11"/>
  <c r="G6" i="11"/>
  <c r="E93" i="11"/>
  <c r="I23" i="11"/>
  <c r="J20" i="11"/>
  <c r="B75" i="11"/>
  <c r="E56" i="11"/>
  <c r="I22" i="11"/>
  <c r="E5" i="11"/>
  <c r="D20" i="11"/>
  <c r="D91" i="11"/>
  <c r="L2" i="11"/>
  <c r="E3" i="11"/>
  <c r="F22" i="11"/>
  <c r="H21" i="11"/>
  <c r="D74" i="11"/>
  <c r="J4" i="11"/>
  <c r="K2" i="11"/>
  <c r="K3" i="11"/>
  <c r="G22" i="11"/>
  <c r="C6" i="11"/>
  <c r="C59" i="11"/>
  <c r="B41" i="11"/>
  <c r="K23" i="11"/>
  <c r="F20" i="11"/>
  <c r="B58" i="11"/>
  <c r="E107" i="11"/>
  <c r="B107" i="11"/>
  <c r="D58" i="11"/>
  <c r="B92" i="11"/>
  <c r="J5" i="11"/>
  <c r="C42" i="11"/>
  <c r="I21" i="11"/>
  <c r="D72" i="11"/>
  <c r="E2" i="11"/>
  <c r="E74" i="11"/>
  <c r="B2" i="11"/>
  <c r="E42" i="11"/>
  <c r="D108" i="11"/>
  <c r="J23" i="11"/>
  <c r="B55" i="11"/>
  <c r="D22" i="11"/>
  <c r="C75" i="11"/>
  <c r="D55" i="11"/>
  <c r="C3" i="11"/>
  <c r="C22" i="11"/>
  <c r="C92" i="11"/>
  <c r="D90" i="11"/>
  <c r="B94" i="11"/>
  <c r="E108" i="11"/>
  <c r="H5" i="11"/>
  <c r="E55" i="11"/>
  <c r="L6" i="11"/>
  <c r="D76" i="11"/>
  <c r="B74" i="11"/>
  <c r="K5" i="11"/>
  <c r="B90" i="11"/>
  <c r="C56" i="11"/>
  <c r="F23" i="11"/>
  <c r="L5" i="11"/>
  <c r="D6" i="11"/>
  <c r="E22" i="11"/>
  <c r="H20" i="11"/>
  <c r="B20" i="11"/>
  <c r="E20" i="11"/>
  <c r="E57" i="11"/>
  <c r="K4" i="11"/>
  <c r="J2" i="11"/>
  <c r="C73" i="11"/>
  <c r="E23" i="11"/>
  <c r="B6" i="11"/>
  <c r="F5" i="11"/>
  <c r="G23" i="11"/>
  <c r="L20" i="11"/>
  <c r="C58" i="11"/>
  <c r="C5" i="11"/>
  <c r="D59" i="11"/>
  <c r="D73" i="11"/>
  <c r="C20" i="11"/>
  <c r="K21" i="11"/>
  <c r="D2" i="11"/>
  <c r="C90" i="11"/>
  <c r="D92" i="11"/>
  <c r="H23" i="11"/>
  <c r="F2" i="11"/>
  <c r="C57" i="11"/>
  <c r="L21" i="11"/>
  <c r="C108" i="11"/>
  <c r="B23" i="11"/>
  <c r="D41" i="11"/>
  <c r="D5" i="11"/>
  <c r="B22" i="11"/>
  <c r="G2" i="11"/>
  <c r="C21" i="11"/>
  <c r="D23" i="11"/>
  <c r="D94" i="11"/>
  <c r="B91" i="11"/>
  <c r="D21" i="11"/>
  <c r="G3" i="11"/>
  <c r="C72" i="11"/>
  <c r="C55" i="11"/>
  <c r="I20" i="11"/>
  <c r="C91" i="11"/>
  <c r="L22" i="11"/>
  <c r="J6" i="11"/>
  <c r="E21" i="11"/>
  <c r="C41" i="11"/>
  <c r="E72" i="11"/>
  <c r="G4" i="11"/>
  <c r="F3" i="11"/>
  <c r="B73" i="11"/>
  <c r="C4" i="11"/>
  <c r="H3" i="11"/>
  <c r="B72" i="11"/>
  <c r="H22" i="11"/>
  <c r="K22" i="11"/>
  <c r="B76" i="11"/>
  <c r="B108" i="11"/>
  <c r="C107" i="11"/>
  <c r="E58" i="11"/>
  <c r="I2" i="11"/>
  <c r="B59" i="11"/>
  <c r="L3" i="11"/>
  <c r="K20" i="11"/>
  <c r="B21" i="11"/>
  <c r="G5" i="11"/>
  <c r="D3" i="11"/>
  <c r="J22" i="11"/>
  <c r="G21" i="11"/>
  <c r="B5" i="11"/>
  <c r="E73" i="11"/>
  <c r="C2" i="11"/>
  <c r="I3" i="11"/>
  <c r="D57" i="11"/>
  <c r="D4" i="11"/>
  <c r="D107" i="11"/>
  <c r="J3" i="11"/>
  <c r="I6" i="11"/>
  <c r="D75" i="11"/>
  <c r="E90" i="11"/>
  <c r="B93" i="11"/>
  <c r="B57" i="11"/>
  <c r="B3" i="11"/>
  <c r="L23" i="11"/>
  <c r="D42" i="11"/>
  <c r="H4" i="11"/>
  <c r="E75" i="11"/>
  <c r="C76" i="11"/>
  <c r="C94" i="11"/>
  <c r="D93" i="11"/>
  <c r="E94" i="11"/>
  <c r="E59" i="11"/>
  <c r="P116" i="11"/>
  <c r="Q125" i="11"/>
  <c r="R130" i="11"/>
  <c r="O128" i="11"/>
  <c r="P128" i="11"/>
  <c r="Q127" i="11"/>
  <c r="R127" i="11"/>
  <c r="Q130" i="11"/>
  <c r="Q134" i="11"/>
  <c r="O133" i="11"/>
  <c r="O107" i="11"/>
  <c r="O131" i="11"/>
  <c r="Q126" i="11"/>
  <c r="Q107" i="11"/>
  <c r="R107" i="11"/>
  <c r="O129" i="11"/>
  <c r="Q131" i="11"/>
  <c r="O132" i="11"/>
  <c r="Q133" i="11"/>
  <c r="R126" i="11"/>
  <c r="P130" i="11"/>
  <c r="O134" i="11"/>
  <c r="O46" i="11"/>
  <c r="R128" i="11"/>
  <c r="R129" i="11"/>
  <c r="P132" i="11"/>
  <c r="O126" i="11"/>
  <c r="Q90" i="11"/>
  <c r="P126" i="11"/>
  <c r="R125" i="11"/>
  <c r="P125" i="11"/>
  <c r="O130" i="11"/>
  <c r="P131" i="11"/>
  <c r="O125" i="11"/>
  <c r="R133" i="11"/>
  <c r="P134" i="11"/>
  <c r="Q46" i="11"/>
  <c r="Q129" i="11"/>
  <c r="Q128" i="11"/>
  <c r="R131" i="11"/>
  <c r="P127" i="11"/>
  <c r="R134" i="11"/>
  <c r="P129" i="11"/>
  <c r="P133" i="11"/>
  <c r="O127" i="11"/>
  <c r="P107" i="11"/>
  <c r="Q132" i="11"/>
  <c r="R132" i="11"/>
  <c r="P46" i="11"/>
  <c r="P90" i="11"/>
  <c r="O90" i="11"/>
  <c r="R46" i="11"/>
  <c r="R90" i="11"/>
  <c r="X9" i="11"/>
  <c r="W8" i="11"/>
  <c r="Y6" i="11"/>
  <c r="S10" i="11"/>
  <c r="X5" i="11"/>
  <c r="O7" i="11"/>
  <c r="S11" i="11"/>
  <c r="X8" i="11"/>
  <c r="Q10" i="11"/>
  <c r="R8" i="11"/>
  <c r="X10" i="11"/>
  <c r="U7" i="11"/>
  <c r="P10" i="11"/>
  <c r="R5" i="11"/>
  <c r="Y11" i="11"/>
  <c r="W5" i="11"/>
  <c r="W7" i="11"/>
  <c r="O8" i="11"/>
  <c r="X6" i="11"/>
  <c r="P9" i="11"/>
  <c r="U6" i="11"/>
  <c r="R21" i="11"/>
  <c r="U10" i="11"/>
  <c r="V5" i="11"/>
  <c r="V6" i="11"/>
  <c r="O109" i="11"/>
  <c r="P108" i="11"/>
  <c r="R109" i="11"/>
  <c r="Q109" i="11"/>
  <c r="O91" i="11"/>
  <c r="Q93" i="11"/>
  <c r="P92" i="11"/>
  <c r="Q92" i="11"/>
  <c r="P93" i="11"/>
  <c r="Q6" i="11"/>
  <c r="O11" i="11"/>
  <c r="T11" i="11"/>
  <c r="P6" i="11"/>
  <c r="Q11" i="11"/>
  <c r="P21" i="11"/>
  <c r="V9" i="11"/>
  <c r="Y10" i="11"/>
  <c r="R6" i="11"/>
  <c r="S6" i="11"/>
  <c r="Q7" i="11"/>
  <c r="V11" i="11"/>
  <c r="O9" i="11"/>
  <c r="W10" i="11"/>
  <c r="O21" i="11"/>
  <c r="O5" i="11"/>
  <c r="Q5" i="11"/>
  <c r="O10" i="11"/>
  <c r="V10" i="11"/>
  <c r="T9" i="11"/>
  <c r="Q21" i="11"/>
  <c r="S9" i="11"/>
  <c r="R110" i="11"/>
  <c r="P111" i="11"/>
  <c r="P109" i="11"/>
  <c r="O108" i="11"/>
  <c r="O111" i="11"/>
  <c r="Q91" i="11"/>
  <c r="R92" i="11"/>
  <c r="X11" i="11"/>
  <c r="S8" i="11"/>
  <c r="R9" i="11"/>
  <c r="W11" i="11"/>
  <c r="V8" i="11"/>
  <c r="Q20" i="11"/>
  <c r="U8" i="11"/>
  <c r="O6" i="11"/>
  <c r="Q9" i="11"/>
  <c r="R20" i="11"/>
  <c r="Q8" i="11"/>
  <c r="P11" i="11"/>
  <c r="V7" i="11"/>
  <c r="T7" i="11"/>
  <c r="P5" i="11"/>
  <c r="Y7" i="11"/>
  <c r="O20" i="11"/>
  <c r="U9" i="11"/>
  <c r="R7" i="11"/>
  <c r="X7" i="11"/>
  <c r="Y8" i="11"/>
  <c r="T6" i="11"/>
  <c r="Q108" i="11"/>
  <c r="R108" i="11"/>
  <c r="Q110" i="11"/>
  <c r="R111" i="11"/>
  <c r="Q111" i="11"/>
  <c r="R91" i="11"/>
  <c r="R93" i="11"/>
  <c r="T10" i="11"/>
  <c r="U11" i="11"/>
  <c r="T5" i="11"/>
  <c r="Y5" i="11"/>
  <c r="U5" i="11"/>
  <c r="P8" i="11"/>
  <c r="S7" i="11"/>
  <c r="W9" i="11"/>
  <c r="R11" i="11"/>
  <c r="T8" i="11"/>
  <c r="W6" i="11"/>
  <c r="R10" i="11"/>
  <c r="P20" i="11"/>
  <c r="P7" i="11"/>
  <c r="S5" i="11"/>
  <c r="Y9" i="11"/>
  <c r="O110" i="11"/>
  <c r="P110" i="11"/>
  <c r="O93" i="11"/>
  <c r="O92" i="11"/>
  <c r="P91" i="11"/>
  <c r="P94" i="11"/>
  <c r="O112" i="11"/>
  <c r="R112" i="11"/>
  <c r="Q94" i="11"/>
  <c r="O94" i="11"/>
  <c r="R94" i="11"/>
  <c r="P112" i="11"/>
  <c r="Q112" i="11"/>
  <c r="O113" i="11"/>
  <c r="P113" i="11"/>
  <c r="Q95" i="11"/>
  <c r="P96" i="11"/>
  <c r="Q97" i="11"/>
  <c r="Q98" i="11"/>
  <c r="R113" i="11"/>
  <c r="P95" i="11"/>
  <c r="O95" i="11"/>
  <c r="P97" i="11"/>
  <c r="R95" i="11"/>
  <c r="Q113" i="11"/>
  <c r="R96" i="11"/>
  <c r="P98" i="11"/>
  <c r="O96" i="11"/>
  <c r="O97" i="11"/>
  <c r="R98" i="11"/>
  <c r="R97" i="11"/>
  <c r="P114" i="11"/>
  <c r="Q114" i="11"/>
  <c r="Q96" i="11"/>
  <c r="P115" i="11"/>
  <c r="H26" i="11"/>
  <c r="C24" i="11"/>
  <c r="L27" i="11"/>
  <c r="D25" i="11"/>
  <c r="E37" i="11"/>
  <c r="D39" i="11"/>
  <c r="B37" i="11"/>
  <c r="G24" i="11"/>
  <c r="B24" i="11"/>
  <c r="E24" i="11"/>
  <c r="F26" i="11"/>
  <c r="H27" i="11"/>
  <c r="I25" i="11"/>
  <c r="E27" i="11"/>
  <c r="C26" i="11"/>
  <c r="C39" i="11"/>
  <c r="K25" i="11"/>
  <c r="E39" i="11"/>
  <c r="F25" i="11"/>
  <c r="C27" i="11"/>
  <c r="H24" i="11"/>
  <c r="B38" i="11"/>
  <c r="D24" i="11"/>
  <c r="J24" i="11"/>
  <c r="J25" i="11"/>
  <c r="B39" i="11"/>
  <c r="B26" i="11"/>
  <c r="D26" i="11"/>
  <c r="D38" i="11"/>
  <c r="D27" i="11"/>
  <c r="H25" i="11"/>
  <c r="B27" i="11"/>
  <c r="D40" i="11"/>
  <c r="K27" i="11"/>
  <c r="C38" i="11"/>
  <c r="G27" i="11"/>
  <c r="D37" i="11"/>
  <c r="L24" i="11"/>
  <c r="J27" i="11"/>
  <c r="J26" i="11"/>
  <c r="I27" i="11"/>
  <c r="B40" i="11"/>
  <c r="E38" i="11"/>
  <c r="L25" i="11"/>
  <c r="G26" i="11"/>
  <c r="C25" i="11"/>
  <c r="I26" i="11"/>
  <c r="G25" i="11"/>
  <c r="E25" i="11"/>
  <c r="K26" i="11"/>
  <c r="E26" i="11"/>
  <c r="B25" i="11"/>
  <c r="F24" i="11"/>
  <c r="L26" i="11"/>
  <c r="K24" i="11"/>
  <c r="E40" i="11"/>
  <c r="C40" i="11"/>
  <c r="C37" i="11"/>
  <c r="F27" i="11"/>
  <c r="I24" i="11"/>
  <c r="A9" i="1"/>
  <c r="R80" i="11"/>
  <c r="Q73" i="11"/>
  <c r="Q59" i="11"/>
  <c r="P60" i="11"/>
  <c r="R60" i="11"/>
  <c r="P62" i="11"/>
  <c r="P76" i="11"/>
  <c r="P80" i="11"/>
  <c r="P74" i="11"/>
  <c r="P58" i="11"/>
  <c r="O75" i="11"/>
  <c r="R75" i="11"/>
  <c r="P55" i="11"/>
  <c r="O63" i="11"/>
  <c r="R77" i="11"/>
  <c r="P73" i="11"/>
  <c r="P56" i="11"/>
  <c r="Q60" i="11"/>
  <c r="O61" i="11"/>
  <c r="O79" i="11"/>
  <c r="Q63" i="11"/>
  <c r="R76" i="11"/>
  <c r="R61" i="11"/>
  <c r="O77" i="11"/>
  <c r="O56" i="11"/>
  <c r="R74" i="11"/>
  <c r="P75" i="11"/>
  <c r="R57" i="11"/>
  <c r="R58" i="11"/>
  <c r="R78" i="11"/>
  <c r="R79" i="11"/>
  <c r="O76" i="11"/>
  <c r="Q55" i="11"/>
  <c r="Q72" i="11"/>
  <c r="O59" i="11"/>
  <c r="O57" i="11"/>
  <c r="O74" i="11"/>
  <c r="Q61" i="11"/>
  <c r="R62" i="11"/>
  <c r="Q74" i="11"/>
  <c r="Q79" i="11"/>
  <c r="O72" i="11"/>
  <c r="R63" i="11"/>
  <c r="O62" i="11"/>
  <c r="P57" i="11"/>
  <c r="R56" i="11"/>
  <c r="P79" i="11"/>
  <c r="Q77" i="11"/>
  <c r="Q58" i="11"/>
  <c r="Q56" i="11"/>
  <c r="R73" i="11"/>
  <c r="Q80" i="11"/>
  <c r="Q57" i="11"/>
  <c r="P59" i="11"/>
  <c r="R55" i="11"/>
  <c r="O55" i="11"/>
  <c r="P61" i="11"/>
  <c r="Q78" i="11"/>
  <c r="P72" i="11"/>
  <c r="O78" i="11"/>
  <c r="P77" i="11"/>
  <c r="P78" i="11"/>
  <c r="O80" i="11"/>
  <c r="R72" i="11"/>
  <c r="O73" i="11"/>
  <c r="Q76" i="11"/>
  <c r="Q75" i="11"/>
  <c r="P63" i="11"/>
  <c r="O58" i="11"/>
  <c r="R59" i="11"/>
  <c r="O60" i="11"/>
  <c r="Q62" i="11"/>
</calcChain>
</file>

<file path=xl/sharedStrings.xml><?xml version="1.0" encoding="utf-8"?>
<sst xmlns="http://schemas.openxmlformats.org/spreadsheetml/2006/main" count="1021" uniqueCount="382">
  <si>
    <t>Camper code</t>
  </si>
  <si>
    <t>Cabin</t>
  </si>
  <si>
    <t>First Name</t>
  </si>
  <si>
    <t>Last Name</t>
  </si>
  <si>
    <t>Monday</t>
  </si>
  <si>
    <t>Choice</t>
  </si>
  <si>
    <t>Period</t>
  </si>
  <si>
    <t>Tuesday</t>
  </si>
  <si>
    <t>Input day to evaluate</t>
  </si>
  <si>
    <t>Activity</t>
  </si>
  <si>
    <t>Wednesday</t>
  </si>
  <si>
    <t>Thursday</t>
  </si>
  <si>
    <t>Friday</t>
  </si>
  <si>
    <t>Not Assigned</t>
  </si>
  <si>
    <t>Activity code</t>
  </si>
  <si>
    <t>Spaces</t>
  </si>
  <si>
    <t>Priority code</t>
  </si>
  <si>
    <t>TODAY</t>
  </si>
  <si>
    <t>HISTORY</t>
  </si>
  <si>
    <t>Day 1</t>
  </si>
  <si>
    <t>Day 2</t>
  </si>
  <si>
    <t>Day 3</t>
  </si>
  <si>
    <t>Day 4</t>
  </si>
  <si>
    <t>Day 5</t>
  </si>
  <si>
    <t>x</t>
  </si>
  <si>
    <t>George</t>
  </si>
  <si>
    <t>Ibrahim</t>
  </si>
  <si>
    <t>Nadine</t>
  </si>
  <si>
    <t>Sammy</t>
  </si>
  <si>
    <t>Patrick</t>
  </si>
  <si>
    <t>Karim</t>
  </si>
  <si>
    <t>Edward</t>
  </si>
  <si>
    <t>Anthony</t>
  </si>
  <si>
    <t>Leanna</t>
  </si>
  <si>
    <t>Youssef</t>
  </si>
  <si>
    <t>Christopher</t>
  </si>
  <si>
    <t>Dominic</t>
  </si>
  <si>
    <t>Daniel</t>
  </si>
  <si>
    <t>Edmond</t>
  </si>
  <si>
    <t>Jihad</t>
  </si>
  <si>
    <t>Bianca</t>
  </si>
  <si>
    <t>Laia</t>
  </si>
  <si>
    <t>Celia</t>
  </si>
  <si>
    <t>Makar</t>
  </si>
  <si>
    <t>Marco</t>
  </si>
  <si>
    <t>Mark</t>
  </si>
  <si>
    <t>Roomi-Elena</t>
  </si>
  <si>
    <t>Zeina</t>
  </si>
  <si>
    <t>Lily</t>
  </si>
  <si>
    <t>Elaina</t>
  </si>
  <si>
    <t>Danielle</t>
  </si>
  <si>
    <t>Elias</t>
  </si>
  <si>
    <t>Fuad</t>
  </si>
  <si>
    <t>Fadi</t>
  </si>
  <si>
    <t>Marc</t>
  </si>
  <si>
    <t>James</t>
  </si>
  <si>
    <t>Jourge</t>
  </si>
  <si>
    <t>Christine</t>
  </si>
  <si>
    <t>Lara</t>
  </si>
  <si>
    <t>Carla</t>
  </si>
  <si>
    <t>Nicholas</t>
  </si>
  <si>
    <t>Michael</t>
  </si>
  <si>
    <t>Joseph</t>
  </si>
  <si>
    <t>Jad</t>
  </si>
  <si>
    <t>Yasmine</t>
  </si>
  <si>
    <t>Elissia</t>
  </si>
  <si>
    <t>Grace</t>
  </si>
  <si>
    <t>Leen</t>
  </si>
  <si>
    <t>Maher</t>
  </si>
  <si>
    <t>Ramy</t>
  </si>
  <si>
    <t>Lucas</t>
  </si>
  <si>
    <t>Nasser</t>
  </si>
  <si>
    <t>Nicolas</t>
  </si>
  <si>
    <t>Philippe</t>
  </si>
  <si>
    <t>Serena</t>
  </si>
  <si>
    <t>Steffany</t>
  </si>
  <si>
    <t># In cabin</t>
  </si>
  <si>
    <t>ALL CAMPERS (Activity code input)</t>
  </si>
  <si>
    <t>Capacity</t>
  </si>
  <si>
    <t>Registered</t>
  </si>
  <si>
    <t>Space</t>
  </si>
  <si>
    <t>P1C2</t>
  </si>
  <si>
    <t>P1C1</t>
  </si>
  <si>
    <t>P2C1</t>
  </si>
  <si>
    <t>P2C2</t>
  </si>
  <si>
    <t>NOTES:</t>
  </si>
  <si>
    <t>Day 1 (Monday)</t>
  </si>
  <si>
    <t>P1 actual</t>
  </si>
  <si>
    <t>P2 actual</t>
  </si>
  <si>
    <t>Day 2 (Tuesday)</t>
  </si>
  <si>
    <t>Day 3 (Wednesday)</t>
  </si>
  <si>
    <t>Day 4 (Thursday)</t>
  </si>
  <si>
    <t>Day 5 (Friday)</t>
  </si>
  <si>
    <t>RANDOM ORDER</t>
  </si>
  <si>
    <t>Code, Name</t>
  </si>
  <si>
    <t>Enable or disable macros in Office files</t>
  </si>
  <si>
    <t>How to remove Document Inspector warning in Excel</t>
  </si>
  <si>
    <t>All</t>
  </si>
  <si>
    <t>[All] Arts and Crafts</t>
  </si>
  <si>
    <t>[All] Basketball</t>
  </si>
  <si>
    <t>[All] Canoe/Kayak</t>
  </si>
  <si>
    <t>[All] Soccer</t>
  </si>
  <si>
    <t>[All] Free Swim</t>
  </si>
  <si>
    <t>[J/S] Fishing</t>
  </si>
  <si>
    <t>[J/S] Rock Climbing</t>
  </si>
  <si>
    <t>CTRL + SHIFT + C</t>
  </si>
  <si>
    <t>Period 1</t>
  </si>
  <si>
    <t>Period 2</t>
  </si>
  <si>
    <t>1, 11</t>
  </si>
  <si>
    <t>2, 12</t>
  </si>
  <si>
    <t>[All] Frog Hunting</t>
  </si>
  <si>
    <t>[All] Tennis</t>
  </si>
  <si>
    <t>[J/S] Archery/Pellet Guns</t>
  </si>
  <si>
    <t>[All] Basketball/Dodgeball</t>
  </si>
  <si>
    <t>Code</t>
  </si>
  <si>
    <t>[CABINS] Tubing</t>
  </si>
  <si>
    <t>Afternoon Program Master List</t>
  </si>
  <si>
    <t>S</t>
  </si>
  <si>
    <t>J</t>
  </si>
  <si>
    <t>ABOUASSALI</t>
  </si>
  <si>
    <t>ZYUZIN</t>
  </si>
  <si>
    <t>Diana</t>
  </si>
  <si>
    <t>SAYEGH</t>
  </si>
  <si>
    <t>DABABNEH</t>
  </si>
  <si>
    <t>GHATTAS</t>
  </si>
  <si>
    <t>SOUOUB</t>
  </si>
  <si>
    <t>FAWAZ</t>
  </si>
  <si>
    <t>HODHOD</t>
  </si>
  <si>
    <t>Semon</t>
  </si>
  <si>
    <t>CHAYEB</t>
  </si>
  <si>
    <t>HOPKINSON</t>
  </si>
  <si>
    <t>BSHARA</t>
  </si>
  <si>
    <t>HADDAD</t>
  </si>
  <si>
    <t>EL-AMIR</t>
  </si>
  <si>
    <t>SALLOUM</t>
  </si>
  <si>
    <t>ESNI</t>
  </si>
  <si>
    <t>KHOURY</t>
  </si>
  <si>
    <t>Christina</t>
  </si>
  <si>
    <t>HAIKE</t>
  </si>
  <si>
    <t>Stephanie</t>
  </si>
  <si>
    <t>GHALI</t>
  </si>
  <si>
    <t>Andrea</t>
  </si>
  <si>
    <t>MAHFOUZ</t>
  </si>
  <si>
    <t>KAYAL</t>
  </si>
  <si>
    <t>Cloe</t>
  </si>
  <si>
    <t>SAWAN</t>
  </si>
  <si>
    <t>ABBOUD</t>
  </si>
  <si>
    <t>LOUCA</t>
  </si>
  <si>
    <t>Catherine</t>
  </si>
  <si>
    <t>HAZIM</t>
  </si>
  <si>
    <t>Mireille</t>
  </si>
  <si>
    <t>HAWA</t>
  </si>
  <si>
    <t>Reina</t>
  </si>
  <si>
    <t>ABOU-ASSALI</t>
  </si>
  <si>
    <t>Lamita</t>
  </si>
  <si>
    <t>AZAKIE</t>
  </si>
  <si>
    <t>Angela</t>
  </si>
  <si>
    <t>STEPHAN</t>
  </si>
  <si>
    <t>Gabrielle</t>
  </si>
  <si>
    <t>SOULAHIAN</t>
  </si>
  <si>
    <t>Maya</t>
  </si>
  <si>
    <t>MELKI</t>
  </si>
  <si>
    <t>Mia</t>
  </si>
  <si>
    <t>LAHAM</t>
  </si>
  <si>
    <t>Mira</t>
  </si>
  <si>
    <t>Marie-Noël</t>
  </si>
  <si>
    <t>REZK</t>
  </si>
  <si>
    <t>Marguerite</t>
  </si>
  <si>
    <t>WYATT</t>
  </si>
  <si>
    <t>Marina</t>
  </si>
  <si>
    <t>ABU AKEL</t>
  </si>
  <si>
    <t>Julie</t>
  </si>
  <si>
    <t>MONSOUR</t>
  </si>
  <si>
    <t>Jasmine</t>
  </si>
  <si>
    <t>KHOURI</t>
  </si>
  <si>
    <t>Maria</t>
  </si>
  <si>
    <t>SULTANEM</t>
  </si>
  <si>
    <t>Elizabeth</t>
  </si>
  <si>
    <t>IBRAHIM</t>
  </si>
  <si>
    <t>BARAM</t>
  </si>
  <si>
    <t>Ebrahim</t>
  </si>
  <si>
    <t>Andre</t>
  </si>
  <si>
    <t>Matthew</t>
  </si>
  <si>
    <t>AYOUB</t>
  </si>
  <si>
    <t xml:space="preserve">Markos </t>
  </si>
  <si>
    <t>FARAH</t>
  </si>
  <si>
    <t>GENADRI</t>
  </si>
  <si>
    <t>Alfred</t>
  </si>
  <si>
    <t>SAOUD</t>
  </si>
  <si>
    <t>Sizar</t>
  </si>
  <si>
    <t>NAZHA</t>
  </si>
  <si>
    <t>FAKHOURI</t>
  </si>
  <si>
    <t>ACCAD</t>
  </si>
  <si>
    <t>MANSOUR</t>
  </si>
  <si>
    <t>WEHBI</t>
  </si>
  <si>
    <t>JARADE</t>
  </si>
  <si>
    <t>ABOU HAIDAR</t>
  </si>
  <si>
    <t>Alexandre</t>
  </si>
  <si>
    <t>NOVAK</t>
  </si>
  <si>
    <t>YASSA</t>
  </si>
  <si>
    <t>AWAD</t>
  </si>
  <si>
    <t>LTEIF</t>
  </si>
  <si>
    <t>AWADALLA</t>
  </si>
  <si>
    <t>LTAIF</t>
  </si>
  <si>
    <t>FREIGA</t>
  </si>
  <si>
    <t>SAWAYA</t>
  </si>
  <si>
    <t>Abdallah</t>
  </si>
  <si>
    <t>ANDRAWES</t>
  </si>
  <si>
    <t>Meshach</t>
  </si>
  <si>
    <t>SALIB</t>
  </si>
  <si>
    <t>RAMZY-RIAD</t>
  </si>
  <si>
    <t>MAATOUK</t>
  </si>
  <si>
    <t>DE VITO</t>
  </si>
  <si>
    <t>WAKIM</t>
  </si>
  <si>
    <t>ALLAHAM</t>
  </si>
  <si>
    <t>Fouad</t>
  </si>
  <si>
    <t>MIKHAEL</t>
  </si>
  <si>
    <t>SHALASH</t>
  </si>
  <si>
    <t>Majd</t>
  </si>
  <si>
    <t>Dimitri</t>
  </si>
  <si>
    <t>CHAHINE</t>
  </si>
  <si>
    <t>MUSA</t>
  </si>
  <si>
    <t>EL-AZZI</t>
  </si>
  <si>
    <t>William</t>
  </si>
  <si>
    <t>YOUSSEF</t>
  </si>
  <si>
    <t>ALHAZIM</t>
  </si>
  <si>
    <t>Toni</t>
  </si>
  <si>
    <t>BOULOS</t>
  </si>
  <si>
    <t>Philip</t>
  </si>
  <si>
    <t>DAOUD</t>
  </si>
  <si>
    <t>Thomas</t>
  </si>
  <si>
    <t>Serge</t>
  </si>
  <si>
    <t>AL DAKHLLAH</t>
  </si>
  <si>
    <t>Bier</t>
  </si>
  <si>
    <t>KAKISH</t>
  </si>
  <si>
    <t>Joachim</t>
  </si>
  <si>
    <t>YIGIT</t>
  </si>
  <si>
    <t>Georges</t>
  </si>
  <si>
    <t>ABOU MRAD</t>
  </si>
  <si>
    <t>Peter</t>
  </si>
  <si>
    <t>DAIBS</t>
  </si>
  <si>
    <t>Jean-Pierre</t>
  </si>
  <si>
    <t>SADDY</t>
  </si>
  <si>
    <t>Marcus</t>
  </si>
  <si>
    <t>Andro</t>
  </si>
  <si>
    <t>Youhana</t>
  </si>
  <si>
    <t>DGLAWY</t>
  </si>
  <si>
    <t>Badia</t>
  </si>
  <si>
    <t>TANNOUS</t>
  </si>
  <si>
    <t>Adam</t>
  </si>
  <si>
    <t>Jamil</t>
  </si>
  <si>
    <t>Roupen</t>
  </si>
  <si>
    <t>ABOU SBEAA</t>
  </si>
  <si>
    <t>Simon</t>
  </si>
  <si>
    <t>Christian</t>
  </si>
  <si>
    <t>Vladimir</t>
  </si>
  <si>
    <t>1  [CABINS] Tubing</t>
  </si>
  <si>
    <t>5  [All] Free Swim</t>
  </si>
  <si>
    <t>4  [All] Canoe/Kayak</t>
  </si>
  <si>
    <t>7  [All] Frog Hunting</t>
  </si>
  <si>
    <t>Jane</t>
  </si>
  <si>
    <t>DOE</t>
  </si>
  <si>
    <t>John</t>
  </si>
  <si>
    <t>SMITH</t>
  </si>
  <si>
    <t>HELP</t>
  </si>
  <si>
    <t>Day:</t>
  </si>
  <si>
    <t>"-printCabins" matches</t>
  </si>
  <si>
    <t>Campers Total</t>
  </si>
  <si>
    <t>Priority Rank</t>
  </si>
  <si>
    <t>AVERAGE RANK</t>
  </si>
  <si>
    <t>RAND() FUNCTION</t>
  </si>
  <si>
    <t>SUGGESTED ORDER TO EVEN IT OUT</t>
  </si>
  <si>
    <t>"-printCabins"</t>
  </si>
  <si>
    <t>Clear input cells (macro)</t>
  </si>
  <si>
    <t>"ALLCAMPERS"</t>
  </si>
  <si>
    <t>"CABINPRIORITY"</t>
  </si>
  <si>
    <t>Save old camper choice data in columns to the right under the respective day</t>
  </si>
  <si>
    <t>"-activityOut"</t>
  </si>
  <si>
    <t>"-activityOutP2"</t>
  </si>
  <si>
    <t>Check Activity code 0 on the activity out sheet for Period 1</t>
  </si>
  <si>
    <t>Check Activity code 0 on the activity out sheet for Period 2</t>
  </si>
  <si>
    <t>OUTPUT OF RESULTS (Print output sheets)</t>
  </si>
  <si>
    <t>Print all pages x 1, then cut them up</t>
  </si>
  <si>
    <t>Complete above steps (redo if required)</t>
  </si>
  <si>
    <t>"ACTIVITYKEY"</t>
  </si>
  <si>
    <t>Hand out to cabin counselors</t>
  </si>
  <si>
    <t>Staple the two printouts for each cabin together</t>
  </si>
  <si>
    <t>Enable macros on the computer that will be used</t>
  </si>
  <si>
    <t>joseph.s.d.bondi@gmail.com</t>
  </si>
  <si>
    <t>Sort "ALLCAMPERS" by camper number  (Data -&gt; Filter)</t>
  </si>
  <si>
    <t>Sort "ALLCAMPERS" by P1 actual  (Data -&gt; Filter)</t>
  </si>
  <si>
    <t>Sort "ALLCAMPERS" by P2 actual  (Data -&gt; Filter)</t>
  </si>
  <si>
    <t>INITIAL INPUT AND SETUP</t>
  </si>
  <si>
    <t>"Formatting"</t>
  </si>
  <si>
    <t>Google it</t>
  </si>
  <si>
    <t>CTRL + SHIFT + G</t>
  </si>
  <si>
    <t>-</t>
  </si>
  <si>
    <t>CABINPRIORITY</t>
  </si>
  <si>
    <t>ACTIVITYKEY</t>
  </si>
  <si>
    <t>FROM "-printCabins"</t>
  </si>
  <si>
    <t>From ALL CAMPERS (Activity code input)</t>
  </si>
  <si>
    <t>DO NOT:</t>
  </si>
  <si>
    <t>RENAME any sheet</t>
  </si>
  <si>
    <t>MOVE any cells</t>
  </si>
  <si>
    <t>MANUALLY EDIT any cells not related to campers.</t>
  </si>
  <si>
    <t>AUTHOR:</t>
  </si>
  <si>
    <t>Joseph Bondi</t>
  </si>
  <si>
    <t>Cell equations (in case of overwrite)  listed in "-backup", which is hidden</t>
  </si>
  <si>
    <t>First five rows of "-printCabins" are copied to "-backup"</t>
  </si>
  <si>
    <t>Much of the program is hard coded, any of the above will cause an error.</t>
  </si>
  <si>
    <t>ACTIVITY  SHEET  OPERATION  INSTRUCTIONS</t>
  </si>
  <si>
    <t>P1  C1</t>
  </si>
  <si>
    <t>P1  C2</t>
  </si>
  <si>
    <t>P2  C1</t>
  </si>
  <si>
    <t>P2  C2</t>
  </si>
  <si>
    <t>Remember to use "Paste Values" under the paste icon under "Home" in the toolbar</t>
  </si>
  <si>
    <t>Arrange new camper names and cabin #s into columns B, D, and E, like "ALLCAMPERS"</t>
  </si>
  <si>
    <t>Copy and Paste the new camper names and cabin #s into "ALLCAMPERS"</t>
  </si>
  <si>
    <t>Get "in cabin #s" and camper codes (macro)</t>
  </si>
  <si>
    <t>Clear old Camper choice data in the "History" section to the right of column N</t>
  </si>
  <si>
    <t>Input cabin priority order for that day in columns E to I</t>
  </si>
  <si>
    <t>Change P1C2 for all campers placed in activity code 0</t>
  </si>
  <si>
    <t>Change P2C2 for all campers placed in activity code 0</t>
  </si>
  <si>
    <t>Return to "Run Assignment Macro" step and repeat until no changes are required</t>
  </si>
  <si>
    <t>Hand out to afternoon program counselors (with each activity's sign) (taped?)</t>
  </si>
  <si>
    <t>Input all Camper choice data in Columns G to J</t>
  </si>
  <si>
    <t>Copy new camper choice data to history section</t>
  </si>
  <si>
    <t>Sheet/Command</t>
  </si>
  <si>
    <t>Purpose</t>
  </si>
  <si>
    <t>Delete unnecessary rows of reference formulas</t>
  </si>
  <si>
    <t>ALTERNATIVE STEPS (NOT REQUIRED):</t>
  </si>
  <si>
    <t>Drag-copy the last row displayed for each cabin until all campers are displayed</t>
  </si>
  <si>
    <t>DAILY REFERENCE:</t>
  </si>
  <si>
    <t>PRE-SESSION REFERENCE:</t>
  </si>
  <si>
    <t>Set Day in bolded box to 1 (for Monday)</t>
  </si>
  <si>
    <t>Clear all table values in columns E to I, refill as appropriate</t>
  </si>
  <si>
    <t>Toolbar/Page Layout/Print Area/Set Print Area is used on some sheets. Change if required.</t>
  </si>
  <si>
    <t>Copy old camper choice data from G to J to under correct day in history section (Column N)</t>
  </si>
  <si>
    <t>NOTE: When entering new information, enter it in the history section, then copy it into the processing area (G-J), because if you operate the clearing macro incorrectly, it may clear the newly entered data and you must reenter all unsaved data</t>
  </si>
  <si>
    <t>Run Assignment Macro</t>
  </si>
  <si>
    <t>CTRL + SHIFT + A</t>
  </si>
  <si>
    <t>Change second choice and run the macro again</t>
  </si>
  <si>
    <t>OUTPUT FOR ACTIVITY SIGN UP</t>
  </si>
  <si>
    <t>INPUT AND ASSIGNMENT</t>
  </si>
  <si>
    <t>[J/S] Aunt Saloma's Kitchen</t>
  </si>
  <si>
    <t>Min Staff</t>
  </si>
  <si>
    <t>Total camper spots</t>
  </si>
  <si>
    <t>Min. staff required</t>
  </si>
  <si>
    <t>SAMPLE LISTS:</t>
  </si>
  <si>
    <t># Staff Required P1</t>
  </si>
  <si>
    <t># Staff Required P2</t>
  </si>
  <si>
    <t>b</t>
  </si>
  <si>
    <t>Name of counsellor 10</t>
  </si>
  <si>
    <t>Name of counsellor 2</t>
  </si>
  <si>
    <t>Name of counsellor 3</t>
  </si>
  <si>
    <t>Name of counsellor 4</t>
  </si>
  <si>
    <t>Name of counsellor 5</t>
  </si>
  <si>
    <t>Name of counsellor 6</t>
  </si>
  <si>
    <t>Name of counsellor 7</t>
  </si>
  <si>
    <t>Name of counsellor 8</t>
  </si>
  <si>
    <t>Name of counsellor 9</t>
  </si>
  <si>
    <t>Name of counsellor 1</t>
  </si>
  <si>
    <t>Name of CIT 1</t>
  </si>
  <si>
    <t>Name of CIT 2</t>
  </si>
  <si>
    <t>Name of CIT 3</t>
  </si>
  <si>
    <t>Name of CIT 4</t>
  </si>
  <si>
    <t>Name of CIT 5</t>
  </si>
  <si>
    <t>Name of CIT 6</t>
  </si>
  <si>
    <t>Name of CIT 7</t>
  </si>
  <si>
    <t>Name of CIT 8</t>
  </si>
  <si>
    <t>Name of CIT 9</t>
  </si>
  <si>
    <t>Name of CIT 10</t>
  </si>
  <si>
    <t>Available P1:</t>
  </si>
  <si>
    <t>Available P2:</t>
  </si>
  <si>
    <t>Monday, August 12, 2019</t>
  </si>
  <si>
    <t>Print x 4, then cut them up</t>
  </si>
  <si>
    <t>"-printActivities"</t>
  </si>
  <si>
    <t>Fill in [F12:G24] as appropriate for the day</t>
  </si>
  <si>
    <t>Clear counsellor names and activity preferences</t>
  </si>
  <si>
    <t>UPDATE TODAY'S DATE:</t>
  </si>
  <si>
    <t>Enter new counsellor names along top of table</t>
  </si>
  <si>
    <t>Enter new counsellor activity preferences by colour coding respective boxes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</si>
</sst>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8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4" xfId="0" applyBorder="1"/>
    <xf numFmtId="0" fontId="0" fillId="0" borderId="5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/>
    </xf>
    <xf numFmtId="0" fontId="1" fillId="0" borderId="0" xfId="1"/>
    <xf numFmtId="0" fontId="0" fillId="0" borderId="6" xfId="0" applyBorder="1"/>
    <xf numFmtId="0" fontId="0" fillId="0" borderId="0" xfId="0" applyAlignment="1">
      <alignment horizontal="right"/>
    </xf>
    <xf numFmtId="2" fontId="0" fillId="0" borderId="0" xfId="0" applyNumberFormat="1"/>
    <xf numFmtId="164" fontId="0" fillId="0" borderId="0" xfId="0" applyNumberFormat="1"/>
    <xf numFmtId="0" fontId="0" fillId="0" borderId="5" xfId="0" applyBorder="1" applyAlignment="1">
      <alignment wrapText="1"/>
    </xf>
    <xf numFmtId="0" fontId="3" fillId="0" borderId="7" xfId="0" applyFont="1" applyBorder="1"/>
    <xf numFmtId="0" fontId="0" fillId="0" borderId="1" xfId="0" applyBorder="1" applyAlignment="1">
      <alignment horizontal="left" wrapText="1"/>
    </xf>
    <xf numFmtId="0" fontId="0" fillId="0" borderId="8" xfId="0" applyBorder="1" applyAlignment="1">
      <alignment wrapText="1"/>
    </xf>
    <xf numFmtId="0" fontId="3" fillId="0" borderId="0" xfId="0" applyFont="1"/>
    <xf numFmtId="0" fontId="3" fillId="0" borderId="4" xfId="0" applyFont="1" applyBorder="1"/>
    <xf numFmtId="0" fontId="3" fillId="0" borderId="0" xfId="0" applyFont="1" applyAlignment="1">
      <alignment horizontal="left"/>
    </xf>
    <xf numFmtId="0" fontId="0" fillId="0" borderId="10" xfId="0" applyBorder="1"/>
    <xf numFmtId="0" fontId="0" fillId="0" borderId="9" xfId="0" applyBorder="1"/>
    <xf numFmtId="0" fontId="3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11" xfId="0" applyBorder="1"/>
    <xf numFmtId="0" fontId="0" fillId="0" borderId="12" xfId="0" applyBorder="1"/>
    <xf numFmtId="0" fontId="0" fillId="0" borderId="3" xfId="0" applyBorder="1"/>
    <xf numFmtId="0" fontId="0" fillId="0" borderId="13" xfId="0" applyBorder="1"/>
    <xf numFmtId="0" fontId="0" fillId="0" borderId="6" xfId="0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23" xfId="0" applyBorder="1"/>
    <xf numFmtId="0" fontId="0" fillId="0" borderId="2" xfId="0" applyBorder="1" applyAlignment="1">
      <alignment horizontal="right"/>
    </xf>
    <xf numFmtId="0" fontId="3" fillId="0" borderId="0" xfId="0" applyFont="1" applyAlignment="1">
      <alignment horizontal="center"/>
    </xf>
    <xf numFmtId="0" fontId="3" fillId="0" borderId="17" xfId="0" applyFont="1" applyBorder="1" applyAlignment="1">
      <alignment horizontal="center"/>
    </xf>
    <xf numFmtId="0" fontId="0" fillId="0" borderId="28" xfId="0" applyBorder="1"/>
    <xf numFmtId="0" fontId="0" fillId="0" borderId="29" xfId="0" applyBorder="1" applyAlignment="1">
      <alignment wrapText="1"/>
    </xf>
    <xf numFmtId="0" fontId="0" fillId="0" borderId="27" xfId="0" applyBorder="1" applyAlignment="1">
      <alignment wrapText="1"/>
    </xf>
    <xf numFmtId="0" fontId="0" fillId="0" borderId="0" xfId="0" applyAlignment="1">
      <alignment horizontal="left" wrapText="1"/>
    </xf>
    <xf numFmtId="0" fontId="0" fillId="0" borderId="30" xfId="0" applyBorder="1"/>
    <xf numFmtId="0" fontId="0" fillId="0" borderId="27" xfId="0" applyBorder="1"/>
    <xf numFmtId="0" fontId="0" fillId="2" borderId="30" xfId="0" applyFill="1" applyBorder="1"/>
    <xf numFmtId="0" fontId="0" fillId="2" borderId="0" xfId="0" applyFill="1"/>
    <xf numFmtId="0" fontId="0" fillId="2" borderId="27" xfId="0" applyFill="1" applyBorder="1"/>
    <xf numFmtId="0" fontId="0" fillId="0" borderId="14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3" borderId="0" xfId="0" applyFill="1" applyAlignment="1">
      <alignment horizontal="right"/>
    </xf>
    <xf numFmtId="0" fontId="0" fillId="0" borderId="18" xfId="0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19" xfId="0" applyBorder="1" applyAlignment="1">
      <alignment horizontal="righ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30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27" xfId="0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0" fillId="0" borderId="14" xfId="0" applyBorder="1" applyAlignment="1">
      <alignment horizontal="center" textRotation="90"/>
    </xf>
    <xf numFmtId="0" fontId="0" fillId="0" borderId="16" xfId="0" applyBorder="1" applyAlignment="1">
      <alignment horizontal="center" textRotation="90"/>
    </xf>
    <xf numFmtId="0" fontId="0" fillId="0" borderId="18" xfId="0" applyBorder="1" applyAlignment="1">
      <alignment horizontal="center" textRotation="90"/>
    </xf>
    <xf numFmtId="0" fontId="0" fillId="0" borderId="15" xfId="0" applyBorder="1" applyAlignment="1">
      <alignment horizontal="center" textRotation="90"/>
    </xf>
    <xf numFmtId="0" fontId="0" fillId="0" borderId="17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</cellXfs>
  <cellStyles count="3">
    <cellStyle name="Hyperlink" xfId="1" builtinId="8"/>
    <cellStyle name="Normal" xfId="0" builtinId="0"/>
    <cellStyle name="Normal 2" xfId="2" xr:uid="{0159D61D-64A2-4B2A-8E4C-F701F1F082BC}"/>
  </cellStyles>
  <dxfs count="9">
    <dxf>
      <alignment horizontal="left" vertical="bottom" textRotation="0" indent="0" justifyLastLine="0" shrinkToFit="0" readingOrder="0"/>
    </dxf>
    <dxf>
      <alignment horizontal="left" vertical="bottom" textRotation="0" indent="0" justifyLastLine="0" shrinkToFit="0" readingOrder="0"/>
    </dxf>
    <dxf>
      <numFmt numFmtId="0" formatCode="General"/>
      <alignment horizontal="left" vertical="bottom" textRotation="0" indent="0" justifyLastLine="0" shrinkToFit="0" readingOrder="0"/>
    </dxf>
    <dxf>
      <alignment horizontal="left" vertical="bottom" textRotation="0" indent="0" justifyLastLine="0" shrinkToFit="0" readingOrder="0"/>
    </dxf>
    <dxf>
      <numFmt numFmtId="0" formatCode="General"/>
      <alignment horizontal="left" vertical="bottom" textRotation="0" indent="0" justifyLastLine="0" shrinkToFit="0" readingOrder="0"/>
    </dxf>
    <dxf>
      <border outline="0">
        <top style="thin">
          <color indexed="64"/>
        </top>
      </border>
    </dxf>
    <dxf>
      <alignment horizontal="left" vertical="bottom" textRotation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bottom" textRotation="0" wrapText="1" indent="0" justifyLastLine="0" shrinkToFit="0" readingOrder="0"/>
    </dxf>
  </dxfs>
  <tableStyles count="1" defaultTableStyle="TableStyleMedium2" defaultPivotStyle="PivotStyleLight16">
    <tableStyle name="Table Style 1" pivot="0" count="0" xr9:uid="{F44E8D7B-A585-4CA3-9B71-528A796DCCF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24B4E2-F639-48FD-8F56-357F1D4FEB82}" name="Table1" displayName="Table1" ref="A10:L310" totalsRowShown="0" headerRowDxfId="8" dataDxfId="6" headerRowBorderDxfId="7" tableBorderDxfId="5">
  <autoFilter ref="A10:L310" xr:uid="{F068D2D0-97D6-4805-8A7E-1E4F8C5CE746}"/>
  <sortState xmlns:xlrd2="http://schemas.microsoft.com/office/spreadsheetml/2017/richdata2" ref="A11:L310">
    <sortCondition ref="A10:A310"/>
  </sortState>
  <tableColumns count="12">
    <tableColumn id="1" xr3:uid="{2345002B-3ADE-4018-90B0-F9A609E7590E}" name="Camper code" dataDxfId="4">
      <calculatedColumnFormula>B11*100 +C11</calculatedColumnFormula>
    </tableColumn>
    <tableColumn id="2" xr3:uid="{40747D32-38AD-4BB5-9B3F-4F8543173723}" name="Cabin" dataDxfId="3"/>
    <tableColumn id="3" xr3:uid="{1F85249D-D579-4743-934C-CBE31BB38E92}" name="# In cabin" dataDxfId="2">
      <calculatedColumnFormula>IF(B11=B10,C10+1,1)</calculatedColumnFormula>
    </tableColumn>
    <tableColumn id="4" xr3:uid="{5069F6F7-ECF7-43A6-847A-4C6B2A6BE644}" name="First Name" dataDxfId="1"/>
    <tableColumn id="5" xr3:uid="{693BEBB9-4F94-4EE9-99F4-1495DA5E6FEA}" name="Last Name" dataDxfId="0"/>
    <tableColumn id="6" xr3:uid="{88DD277B-2198-429A-96E3-0DD21DC48C05}" name="Priority code"/>
    <tableColumn id="7" xr3:uid="{61AB2754-B1DF-4130-AF33-6F02C5B68E72}" name="P1C1"/>
    <tableColumn id="8" xr3:uid="{F56B1E08-E62F-4599-BD2F-1D4A4E4CD50B}" name="P1C2"/>
    <tableColumn id="9" xr3:uid="{791638EF-F28D-480E-A0D0-7EA400766C9A}" name="P2C1"/>
    <tableColumn id="10" xr3:uid="{1AA70126-41A1-45F4-B336-12ABE3E98E61}" name="P2C2"/>
    <tableColumn id="11" xr3:uid="{FD7262D2-2FEE-4759-8AD9-90C0278A7B5E}" name="P1 actual"/>
    <tableColumn id="12" xr3:uid="{832DB363-2778-43A1-979A-225B72A57B00}" name="P2 actual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oseph.s.d.bondi@gmail.com" TargetMode="External"/><Relationship Id="rId2" Type="http://schemas.openxmlformats.org/officeDocument/2006/relationships/hyperlink" Target="https://superuser.com/questions/1313581/how-to-remove-document-inspector-warning-in-excel" TargetMode="External"/><Relationship Id="rId1" Type="http://schemas.openxmlformats.org/officeDocument/2006/relationships/hyperlink" Target="https://support.office.com/en-us/article/enable-or-disable-macros-in-office-files-12b036fd-d140-4e74-b45e-16fed1a7e5c6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96D9C-E0F0-4820-999D-AE5430A13770}">
  <sheetPr codeName="Sheet7"/>
  <dimension ref="A1:AA86"/>
  <sheetViews>
    <sheetView tabSelected="1" zoomScale="70" zoomScaleNormal="70" workbookViewId="0">
      <selection sqref="A1:B1"/>
    </sheetView>
  </sheetViews>
  <sheetFormatPr defaultRowHeight="14.4" x14ac:dyDescent="0.3"/>
  <cols>
    <col min="1" max="1" width="18.77734375" customWidth="1"/>
    <col min="2" max="2" width="75.88671875" customWidth="1"/>
  </cols>
  <sheetData>
    <row r="1" spans="1:27" ht="21" x14ac:dyDescent="0.4">
      <c r="A1" s="65" t="s">
        <v>310</v>
      </c>
      <c r="B1" s="65"/>
    </row>
    <row r="2" spans="1:27" x14ac:dyDescent="0.3">
      <c r="A2" s="18" t="s">
        <v>332</v>
      </c>
    </row>
    <row r="3" spans="1:27" x14ac:dyDescent="0.3">
      <c r="A3" s="18" t="s">
        <v>343</v>
      </c>
    </row>
    <row r="4" spans="1:27" x14ac:dyDescent="0.3">
      <c r="A4" s="6" t="s">
        <v>327</v>
      </c>
      <c r="B4" s="1" t="s">
        <v>328</v>
      </c>
    </row>
    <row r="5" spans="1:27" x14ac:dyDescent="0.3">
      <c r="A5" s="5" t="s">
        <v>274</v>
      </c>
      <c r="B5" t="s">
        <v>337</v>
      </c>
    </row>
    <row r="6" spans="1:27" x14ac:dyDescent="0.3">
      <c r="A6" s="19" t="s">
        <v>105</v>
      </c>
      <c r="B6" t="s">
        <v>273</v>
      </c>
    </row>
    <row r="7" spans="1:27" x14ac:dyDescent="0.3">
      <c r="A7" s="5" t="s">
        <v>274</v>
      </c>
      <c r="B7" t="s">
        <v>325</v>
      </c>
    </row>
    <row r="8" spans="1:27" ht="43.2" x14ac:dyDescent="0.3">
      <c r="B8" s="25" t="s">
        <v>338</v>
      </c>
    </row>
    <row r="9" spans="1:27" x14ac:dyDescent="0.3">
      <c r="A9" s="5" t="s">
        <v>274</v>
      </c>
      <c r="B9" t="s">
        <v>326</v>
      </c>
    </row>
    <row r="10" spans="1:27" x14ac:dyDescent="0.3">
      <c r="A10" s="5" t="s">
        <v>275</v>
      </c>
      <c r="B10" t="s">
        <v>8</v>
      </c>
    </row>
    <row r="11" spans="1:27" x14ac:dyDescent="0.3">
      <c r="A11" s="5" t="s">
        <v>275</v>
      </c>
      <c r="B11" t="s">
        <v>320</v>
      </c>
    </row>
    <row r="12" spans="1:27" x14ac:dyDescent="0.3">
      <c r="A12" s="23" t="s">
        <v>340</v>
      </c>
      <c r="B12" s="3" t="s">
        <v>339</v>
      </c>
    </row>
    <row r="13" spans="1:27" x14ac:dyDescent="0.3">
      <c r="A13" s="5" t="s">
        <v>277</v>
      </c>
      <c r="B13" t="s">
        <v>279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</row>
    <row r="14" spans="1:27" x14ac:dyDescent="0.3">
      <c r="A14" s="5" t="s">
        <v>274</v>
      </c>
      <c r="B14" t="s">
        <v>321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</row>
    <row r="15" spans="1:27" x14ac:dyDescent="0.3">
      <c r="A15" s="5" t="s">
        <v>278</v>
      </c>
      <c r="B15" t="s">
        <v>280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</row>
    <row r="16" spans="1:27" x14ac:dyDescent="0.3">
      <c r="A16" s="5" t="s">
        <v>274</v>
      </c>
      <c r="B16" t="s">
        <v>322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1:2" x14ac:dyDescent="0.3">
      <c r="A17" s="24"/>
      <c r="B17" s="3" t="s">
        <v>323</v>
      </c>
    </row>
    <row r="18" spans="1:2" x14ac:dyDescent="0.3">
      <c r="B18" s="18" t="s">
        <v>330</v>
      </c>
    </row>
    <row r="19" spans="1:2" s="3" customFormat="1" x14ac:dyDescent="0.3">
      <c r="A19" s="5" t="s">
        <v>274</v>
      </c>
      <c r="B19" t="s">
        <v>290</v>
      </c>
    </row>
    <row r="20" spans="1:2" x14ac:dyDescent="0.3">
      <c r="A20" s="5" t="s">
        <v>274</v>
      </c>
      <c r="B20" t="s">
        <v>341</v>
      </c>
    </row>
    <row r="21" spans="1:2" x14ac:dyDescent="0.3">
      <c r="A21" s="5" t="s">
        <v>274</v>
      </c>
      <c r="B21" t="s">
        <v>291</v>
      </c>
    </row>
    <row r="22" spans="1:2" x14ac:dyDescent="0.3">
      <c r="A22" s="5" t="s">
        <v>274</v>
      </c>
      <c r="B22" t="s">
        <v>341</v>
      </c>
    </row>
    <row r="24" spans="1:2" x14ac:dyDescent="0.3">
      <c r="A24" s="18" t="s">
        <v>281</v>
      </c>
    </row>
    <row r="25" spans="1:2" x14ac:dyDescent="0.3">
      <c r="A25" s="6" t="s">
        <v>327</v>
      </c>
      <c r="B25" s="1" t="s">
        <v>328</v>
      </c>
    </row>
    <row r="26" spans="1:2" x14ac:dyDescent="0.3">
      <c r="A26" s="5"/>
      <c r="B26" t="s">
        <v>283</v>
      </c>
    </row>
    <row r="27" spans="1:2" x14ac:dyDescent="0.3">
      <c r="A27" s="5" t="s">
        <v>272</v>
      </c>
      <c r="B27" t="s">
        <v>282</v>
      </c>
    </row>
    <row r="28" spans="1:2" x14ac:dyDescent="0.3">
      <c r="A28" s="5"/>
      <c r="B28" t="s">
        <v>285</v>
      </c>
    </row>
    <row r="29" spans="1:2" x14ac:dyDescent="0.3">
      <c r="A29" s="5" t="s">
        <v>277</v>
      </c>
      <c r="B29" t="s">
        <v>282</v>
      </c>
    </row>
    <row r="30" spans="1:2" x14ac:dyDescent="0.3">
      <c r="A30" s="5" t="s">
        <v>278</v>
      </c>
      <c r="B30" t="s">
        <v>282</v>
      </c>
    </row>
    <row r="31" spans="1:2" x14ac:dyDescent="0.3">
      <c r="A31" s="5"/>
      <c r="B31" t="s">
        <v>324</v>
      </c>
    </row>
    <row r="33" spans="1:4" x14ac:dyDescent="0.3">
      <c r="A33" s="18" t="s">
        <v>342</v>
      </c>
    </row>
    <row r="34" spans="1:4" x14ac:dyDescent="0.3">
      <c r="A34" s="6" t="s">
        <v>327</v>
      </c>
      <c r="B34" s="1" t="s">
        <v>328</v>
      </c>
      <c r="D34" t="s">
        <v>296</v>
      </c>
    </row>
    <row r="35" spans="1:4" x14ac:dyDescent="0.3">
      <c r="A35" s="5" t="s">
        <v>274</v>
      </c>
      <c r="B35" t="s">
        <v>276</v>
      </c>
    </row>
    <row r="36" spans="1:4" x14ac:dyDescent="0.3">
      <c r="A36" s="19" t="s">
        <v>105</v>
      </c>
      <c r="B36" t="s">
        <v>273</v>
      </c>
    </row>
    <row r="37" spans="1:4" x14ac:dyDescent="0.3">
      <c r="A37" s="5" t="s">
        <v>274</v>
      </c>
      <c r="B37" t="s">
        <v>289</v>
      </c>
    </row>
    <row r="38" spans="1:4" x14ac:dyDescent="0.3">
      <c r="A38" s="5" t="s">
        <v>272</v>
      </c>
      <c r="B38" t="s">
        <v>282</v>
      </c>
    </row>
    <row r="39" spans="1:4" x14ac:dyDescent="0.3">
      <c r="A39" s="5" t="s">
        <v>284</v>
      </c>
      <c r="B39" t="s">
        <v>377</v>
      </c>
    </row>
    <row r="40" spans="1:4" x14ac:dyDescent="0.3">
      <c r="A40" s="5" t="s">
        <v>376</v>
      </c>
      <c r="B40" t="s">
        <v>375</v>
      </c>
    </row>
    <row r="41" spans="1:4" x14ac:dyDescent="0.3">
      <c r="A41" s="5"/>
      <c r="B41" t="s">
        <v>286</v>
      </c>
    </row>
    <row r="42" spans="1:4" x14ac:dyDescent="0.3">
      <c r="A42" s="5"/>
      <c r="B42" t="s">
        <v>285</v>
      </c>
    </row>
    <row r="44" spans="1:4" x14ac:dyDescent="0.3">
      <c r="A44" s="18" t="str">
        <f>A72&amp;" " &amp;B72</f>
        <v>NOTES: DO NOT:</v>
      </c>
      <c r="B44" s="18" t="str">
        <f>B73</f>
        <v>RENAME any sheet</v>
      </c>
    </row>
    <row r="45" spans="1:4" x14ac:dyDescent="0.3">
      <c r="A45" s="18"/>
      <c r="B45" s="18" t="str">
        <f>B74</f>
        <v>MOVE any cells</v>
      </c>
    </row>
    <row r="46" spans="1:4" x14ac:dyDescent="0.3">
      <c r="A46" s="18"/>
      <c r="B46" s="18" t="str">
        <f>B75</f>
        <v>MANUALLY EDIT any cells not related to campers.</v>
      </c>
    </row>
    <row r="47" spans="1:4" x14ac:dyDescent="0.3">
      <c r="A47" s="18"/>
      <c r="B47" s="18" t="str">
        <f>B76</f>
        <v>Much of the program is hard coded, any of the above will cause an error.</v>
      </c>
    </row>
    <row r="48" spans="1:4" hidden="1" x14ac:dyDescent="0.3"/>
    <row r="49" spans="1:2" hidden="1" x14ac:dyDescent="0.3"/>
    <row r="50" spans="1:2" x14ac:dyDescent="0.3">
      <c r="A50" s="18" t="s">
        <v>333</v>
      </c>
    </row>
    <row r="51" spans="1:2" x14ac:dyDescent="0.3">
      <c r="A51" s="18" t="s">
        <v>292</v>
      </c>
      <c r="B51" s="4"/>
    </row>
    <row r="52" spans="1:2" x14ac:dyDescent="0.3">
      <c r="A52" s="6" t="s">
        <v>327</v>
      </c>
      <c r="B52" s="1" t="s">
        <v>328</v>
      </c>
    </row>
    <row r="53" spans="1:2" x14ac:dyDescent="0.3">
      <c r="A53" s="5" t="s">
        <v>294</v>
      </c>
      <c r="B53" t="s">
        <v>287</v>
      </c>
    </row>
    <row r="54" spans="1:2" x14ac:dyDescent="0.3">
      <c r="A54" s="5" t="s">
        <v>293</v>
      </c>
      <c r="B54" t="s">
        <v>316</v>
      </c>
    </row>
    <row r="55" spans="1:2" x14ac:dyDescent="0.3">
      <c r="A55" s="5" t="s">
        <v>274</v>
      </c>
      <c r="B55" t="s">
        <v>317</v>
      </c>
    </row>
    <row r="56" spans="1:2" x14ac:dyDescent="0.3">
      <c r="A56" s="19" t="s">
        <v>295</v>
      </c>
      <c r="B56" t="s">
        <v>318</v>
      </c>
    </row>
    <row r="57" spans="1:2" x14ac:dyDescent="0.3">
      <c r="A57" s="5" t="s">
        <v>274</v>
      </c>
      <c r="B57" t="s">
        <v>319</v>
      </c>
    </row>
    <row r="58" spans="1:2" x14ac:dyDescent="0.3">
      <c r="A58" s="5" t="s">
        <v>275</v>
      </c>
      <c r="B58" t="s">
        <v>334</v>
      </c>
    </row>
    <row r="59" spans="1:2" x14ac:dyDescent="0.3">
      <c r="A59" s="5" t="s">
        <v>275</v>
      </c>
      <c r="B59" t="s">
        <v>335</v>
      </c>
    </row>
    <row r="60" spans="1:2" x14ac:dyDescent="0.3">
      <c r="A60" s="5" t="s">
        <v>272</v>
      </c>
      <c r="B60" t="s">
        <v>331</v>
      </c>
    </row>
    <row r="61" spans="1:2" x14ac:dyDescent="0.3">
      <c r="A61" s="5" t="s">
        <v>272</v>
      </c>
      <c r="B61" t="s">
        <v>329</v>
      </c>
    </row>
    <row r="62" spans="1:2" x14ac:dyDescent="0.3">
      <c r="A62" s="5" t="s">
        <v>284</v>
      </c>
      <c r="B62" t="s">
        <v>378</v>
      </c>
    </row>
    <row r="63" spans="1:2" x14ac:dyDescent="0.3">
      <c r="A63" s="5" t="s">
        <v>284</v>
      </c>
      <c r="B63" t="s">
        <v>380</v>
      </c>
    </row>
    <row r="64" spans="1:2" x14ac:dyDescent="0.3">
      <c r="A64" s="5" t="s">
        <v>284</v>
      </c>
      <c r="B64" t="s">
        <v>381</v>
      </c>
    </row>
    <row r="70" spans="1:7" x14ac:dyDescent="0.3">
      <c r="C70" s="4"/>
      <c r="D70" s="4"/>
      <c r="E70" s="4"/>
      <c r="F70" s="4"/>
    </row>
    <row r="71" spans="1:7" x14ac:dyDescent="0.3">
      <c r="F71" s="4"/>
    </row>
    <row r="72" spans="1:7" x14ac:dyDescent="0.3">
      <c r="A72" s="18" t="s">
        <v>85</v>
      </c>
      <c r="B72" s="18" t="s">
        <v>301</v>
      </c>
    </row>
    <row r="73" spans="1:7" x14ac:dyDescent="0.3">
      <c r="B73" s="18" t="s">
        <v>302</v>
      </c>
      <c r="D73" s="4"/>
      <c r="E73" s="4"/>
      <c r="F73" s="4"/>
      <c r="G73" s="4"/>
    </row>
    <row r="74" spans="1:7" x14ac:dyDescent="0.3">
      <c r="B74" s="18" t="s">
        <v>303</v>
      </c>
      <c r="D74" s="4"/>
      <c r="E74" s="4"/>
      <c r="F74" s="4"/>
      <c r="G74" s="4"/>
    </row>
    <row r="75" spans="1:7" x14ac:dyDescent="0.3">
      <c r="B75" s="18" t="s">
        <v>304</v>
      </c>
      <c r="D75" s="4"/>
      <c r="E75" s="4"/>
      <c r="G75" s="4"/>
    </row>
    <row r="76" spans="1:7" x14ac:dyDescent="0.3">
      <c r="B76" s="18" t="s">
        <v>309</v>
      </c>
      <c r="G76" s="4"/>
    </row>
    <row r="77" spans="1:7" x14ac:dyDescent="0.3">
      <c r="B77" t="s">
        <v>307</v>
      </c>
    </row>
    <row r="78" spans="1:7" x14ac:dyDescent="0.3">
      <c r="B78" t="s">
        <v>308</v>
      </c>
    </row>
    <row r="79" spans="1:7" x14ac:dyDescent="0.3">
      <c r="B79" t="s">
        <v>336</v>
      </c>
    </row>
    <row r="80" spans="1:7" x14ac:dyDescent="0.3">
      <c r="B80" s="20" t="s">
        <v>315</v>
      </c>
    </row>
    <row r="82" spans="1:2" x14ac:dyDescent="0.3">
      <c r="A82" s="18" t="s">
        <v>264</v>
      </c>
      <c r="B82" s="9" t="s">
        <v>95</v>
      </c>
    </row>
    <row r="83" spans="1:2" x14ac:dyDescent="0.3">
      <c r="B83" s="9" t="s">
        <v>96</v>
      </c>
    </row>
    <row r="85" spans="1:2" x14ac:dyDescent="0.3">
      <c r="A85" s="18" t="s">
        <v>305</v>
      </c>
      <c r="B85" t="s">
        <v>306</v>
      </c>
    </row>
    <row r="86" spans="1:2" x14ac:dyDescent="0.3">
      <c r="B86" s="9" t="s">
        <v>288</v>
      </c>
    </row>
  </sheetData>
  <mergeCells count="1">
    <mergeCell ref="A1:B1"/>
  </mergeCells>
  <hyperlinks>
    <hyperlink ref="B82" r:id="rId1" xr:uid="{3CC159BB-50C7-4EE7-9906-EFCFB8C30332}"/>
    <hyperlink ref="B83" r:id="rId2" xr:uid="{0AAD7185-836E-4547-8E14-DE5D083C90B6}"/>
    <hyperlink ref="B86" r:id="rId3" xr:uid="{C12F025C-C993-4425-BD6F-785A4D676AFF}"/>
  </hyperlinks>
  <pageMargins left="0.5" right="0.5" top="0.5" bottom="0.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311"/>
  <sheetViews>
    <sheetView zoomScale="70" zoomScaleNormal="70" workbookViewId="0">
      <pane xSplit="5" topLeftCell="F1" activePane="topRight" state="frozen"/>
      <selection activeCell="A7" sqref="A7"/>
      <selection pane="topRight" activeCell="A7" sqref="A7"/>
    </sheetView>
  </sheetViews>
  <sheetFormatPr defaultRowHeight="14.4" x14ac:dyDescent="0.3"/>
  <cols>
    <col min="1" max="1" width="7.77734375" style="4" customWidth="1"/>
    <col min="2" max="3" width="5.77734375" style="4" customWidth="1"/>
    <col min="4" max="4" width="12.77734375" style="4" customWidth="1"/>
    <col min="5" max="5" width="15.77734375" style="4" customWidth="1"/>
    <col min="6" max="6" width="6.88671875" style="4" bestFit="1" customWidth="1"/>
    <col min="7" max="10" width="5.33203125" style="4" customWidth="1"/>
    <col min="11" max="12" width="20.77734375" style="4" customWidth="1"/>
    <col min="13" max="14" width="10.5546875" customWidth="1"/>
    <col min="16" max="19" width="3.77734375" customWidth="1"/>
    <col min="21" max="24" width="3.77734375" customWidth="1"/>
    <col min="26" max="29" width="3.77734375" customWidth="1"/>
    <col min="31" max="34" width="3.77734375" customWidth="1"/>
    <col min="36" max="39" width="3.77734375" customWidth="1"/>
  </cols>
  <sheetData>
    <row r="1" spans="1:39" hidden="1" x14ac:dyDescent="0.3"/>
    <row r="2" spans="1:39" hidden="1" x14ac:dyDescent="0.3"/>
    <row r="3" spans="1:39" hidden="1" x14ac:dyDescent="0.3"/>
    <row r="4" spans="1:39" hidden="1" x14ac:dyDescent="0.3"/>
    <row r="5" spans="1:39" hidden="1" x14ac:dyDescent="0.3"/>
    <row r="6" spans="1:39" hidden="1" x14ac:dyDescent="0.3"/>
    <row r="7" spans="1:39" x14ac:dyDescent="0.3">
      <c r="A7" s="4" t="s">
        <v>77</v>
      </c>
    </row>
    <row r="8" spans="1:39" x14ac:dyDescent="0.3">
      <c r="A8" s="11">
        <f>COUNTA(D11:D310)</f>
        <v>122</v>
      </c>
      <c r="B8" s="4" t="s">
        <v>267</v>
      </c>
      <c r="F8" s="4" t="s">
        <v>6</v>
      </c>
      <c r="G8" s="4">
        <v>1</v>
      </c>
      <c r="I8" s="4">
        <v>2</v>
      </c>
      <c r="K8" s="4" t="s">
        <v>106</v>
      </c>
      <c r="L8" s="4" t="s">
        <v>107</v>
      </c>
      <c r="N8" t="s">
        <v>18</v>
      </c>
      <c r="O8" t="s">
        <v>86</v>
      </c>
      <c r="T8" t="s">
        <v>89</v>
      </c>
      <c r="Y8" t="s">
        <v>90</v>
      </c>
      <c r="AD8" t="s">
        <v>91</v>
      </c>
      <c r="AI8" t="s">
        <v>92</v>
      </c>
    </row>
    <row r="9" spans="1:39" x14ac:dyDescent="0.3">
      <c r="A9" s="11">
        <f>SUMPRODUCT(COUNTIF(A11:A310, '-printCabins'!A1:A327))   +   SUMPRODUCT(COUNTIF(A11:A310, '-printCabins'!N1:N327))</f>
        <v>122</v>
      </c>
      <c r="B9" s="8" t="s">
        <v>266</v>
      </c>
      <c r="C9" s="8"/>
      <c r="F9" s="8" t="s">
        <v>5</v>
      </c>
      <c r="G9" s="8">
        <v>1</v>
      </c>
      <c r="H9" s="8">
        <v>2</v>
      </c>
      <c r="I9" s="8">
        <v>1</v>
      </c>
      <c r="J9" s="8">
        <v>2</v>
      </c>
      <c r="K9" s="8"/>
      <c r="L9" s="8"/>
      <c r="O9" t="s">
        <v>6</v>
      </c>
      <c r="P9">
        <v>1</v>
      </c>
      <c r="R9">
        <v>2</v>
      </c>
      <c r="T9" t="s">
        <v>6</v>
      </c>
      <c r="U9">
        <v>1</v>
      </c>
      <c r="W9">
        <v>2</v>
      </c>
      <c r="Y9" t="s">
        <v>6</v>
      </c>
      <c r="Z9">
        <v>1</v>
      </c>
      <c r="AB9">
        <v>2</v>
      </c>
      <c r="AD9" t="s">
        <v>6</v>
      </c>
      <c r="AE9">
        <v>1</v>
      </c>
      <c r="AG9">
        <v>2</v>
      </c>
      <c r="AI9" t="s">
        <v>6</v>
      </c>
      <c r="AJ9">
        <v>1</v>
      </c>
      <c r="AL9">
        <v>2</v>
      </c>
    </row>
    <row r="10" spans="1:39" s="3" customFormat="1" ht="29.4" thickBot="1" x14ac:dyDescent="0.35">
      <c r="A10" s="16" t="s">
        <v>0</v>
      </c>
      <c r="B10" s="16" t="s">
        <v>1</v>
      </c>
      <c r="C10" s="16" t="s">
        <v>76</v>
      </c>
      <c r="D10" s="16" t="s">
        <v>2</v>
      </c>
      <c r="E10" s="16" t="s">
        <v>3</v>
      </c>
      <c r="F10" s="16" t="s">
        <v>16</v>
      </c>
      <c r="G10" s="50" t="s">
        <v>82</v>
      </c>
      <c r="H10" s="50" t="s">
        <v>81</v>
      </c>
      <c r="I10" s="50" t="s">
        <v>83</v>
      </c>
      <c r="J10" s="50" t="s">
        <v>84</v>
      </c>
      <c r="K10" s="16" t="s">
        <v>87</v>
      </c>
      <c r="L10" s="16" t="s">
        <v>88</v>
      </c>
      <c r="M10" s="7"/>
      <c r="N10" s="7"/>
      <c r="O10" s="7" t="s">
        <v>5</v>
      </c>
      <c r="P10" s="7">
        <v>1</v>
      </c>
      <c r="Q10" s="7">
        <v>2</v>
      </c>
      <c r="R10" s="7">
        <v>1</v>
      </c>
      <c r="S10" s="7">
        <v>2</v>
      </c>
      <c r="T10" s="7" t="s">
        <v>5</v>
      </c>
      <c r="U10" s="7">
        <v>1</v>
      </c>
      <c r="V10" s="7">
        <v>2</v>
      </c>
      <c r="W10" s="7">
        <v>1</v>
      </c>
      <c r="X10" s="7">
        <v>2</v>
      </c>
      <c r="Y10" s="7" t="s">
        <v>5</v>
      </c>
      <c r="Z10" s="7">
        <v>1</v>
      </c>
      <c r="AA10" s="7">
        <v>2</v>
      </c>
      <c r="AB10" s="7">
        <v>1</v>
      </c>
      <c r="AC10" s="7">
        <v>2</v>
      </c>
      <c r="AD10" s="7" t="s">
        <v>5</v>
      </c>
      <c r="AE10" s="7">
        <v>1</v>
      </c>
      <c r="AF10" s="7">
        <v>2</v>
      </c>
      <c r="AG10" s="7">
        <v>1</v>
      </c>
      <c r="AH10" s="7">
        <v>2</v>
      </c>
      <c r="AI10" s="7" t="s">
        <v>5</v>
      </c>
      <c r="AJ10" s="7">
        <v>1</v>
      </c>
      <c r="AK10" s="7">
        <v>2</v>
      </c>
      <c r="AL10" s="7">
        <v>1</v>
      </c>
      <c r="AM10" s="7">
        <v>2</v>
      </c>
    </row>
    <row r="11" spans="1:39" x14ac:dyDescent="0.3">
      <c r="A11" s="4">
        <v>101</v>
      </c>
      <c r="B11" s="4">
        <v>1</v>
      </c>
      <c r="C11" s="4">
        <v>1</v>
      </c>
      <c r="D11" t="s">
        <v>42</v>
      </c>
      <c r="E11" t="s">
        <v>119</v>
      </c>
      <c r="F11"/>
      <c r="G11" s="31">
        <v>6</v>
      </c>
      <c r="H11" s="51">
        <v>7</v>
      </c>
      <c r="I11" s="51">
        <v>3</v>
      </c>
      <c r="J11" s="32">
        <v>4</v>
      </c>
      <c r="K11"/>
      <c r="L11"/>
      <c r="P11">
        <f ca="1">RANDBETWEEN(1,7)</f>
        <v>3</v>
      </c>
      <c r="Q11">
        <f t="shared" ref="Q11:S26" ca="1" si="0">RANDBETWEEN(1,7)</f>
        <v>3</v>
      </c>
      <c r="R11">
        <f t="shared" ca="1" si="0"/>
        <v>7</v>
      </c>
      <c r="S11">
        <f t="shared" ca="1" si="0"/>
        <v>6</v>
      </c>
    </row>
    <row r="12" spans="1:39" x14ac:dyDescent="0.3">
      <c r="A12" s="4">
        <v>102</v>
      </c>
      <c r="B12" s="4">
        <v>1</v>
      </c>
      <c r="C12" s="4">
        <v>2</v>
      </c>
      <c r="D12" t="s">
        <v>121</v>
      </c>
      <c r="E12" t="s">
        <v>120</v>
      </c>
      <c r="F12"/>
      <c r="G12" s="33">
        <v>6</v>
      </c>
      <c r="H12">
        <v>6</v>
      </c>
      <c r="I12">
        <v>5</v>
      </c>
      <c r="J12" s="34">
        <v>3</v>
      </c>
      <c r="K12"/>
      <c r="L12"/>
      <c r="P12">
        <f t="shared" ref="P12:S43" ca="1" si="1">RANDBETWEEN(1,7)</f>
        <v>7</v>
      </c>
      <c r="Q12">
        <f t="shared" ca="1" si="0"/>
        <v>3</v>
      </c>
      <c r="R12">
        <f t="shared" ca="1" si="0"/>
        <v>7</v>
      </c>
      <c r="S12">
        <f t="shared" ca="1" si="0"/>
        <v>3</v>
      </c>
    </row>
    <row r="13" spans="1:39" x14ac:dyDescent="0.3">
      <c r="A13" s="4">
        <v>103</v>
      </c>
      <c r="B13" s="4">
        <v>1</v>
      </c>
      <c r="C13" s="4">
        <v>3</v>
      </c>
      <c r="D13" t="s">
        <v>41</v>
      </c>
      <c r="E13" t="s">
        <v>122</v>
      </c>
      <c r="F13"/>
      <c r="G13" s="33">
        <v>3</v>
      </c>
      <c r="H13">
        <v>6</v>
      </c>
      <c r="I13">
        <v>6</v>
      </c>
      <c r="J13" s="34">
        <v>4</v>
      </c>
      <c r="K13"/>
      <c r="L13"/>
      <c r="P13">
        <f t="shared" ca="1" si="1"/>
        <v>1</v>
      </c>
      <c r="Q13">
        <f t="shared" ca="1" si="0"/>
        <v>1</v>
      </c>
      <c r="R13">
        <f t="shared" ca="1" si="0"/>
        <v>2</v>
      </c>
      <c r="S13">
        <f t="shared" ca="1" si="0"/>
        <v>1</v>
      </c>
    </row>
    <row r="14" spans="1:39" x14ac:dyDescent="0.3">
      <c r="A14" s="4">
        <v>104</v>
      </c>
      <c r="B14" s="4">
        <v>1</v>
      </c>
      <c r="C14" s="4">
        <v>4</v>
      </c>
      <c r="D14" t="s">
        <v>27</v>
      </c>
      <c r="E14" t="s">
        <v>123</v>
      </c>
      <c r="F14"/>
      <c r="G14" s="33">
        <v>4</v>
      </c>
      <c r="H14">
        <v>1</v>
      </c>
      <c r="I14">
        <v>7</v>
      </c>
      <c r="J14" s="34">
        <v>6</v>
      </c>
      <c r="K14"/>
      <c r="L14"/>
      <c r="P14">
        <f t="shared" ca="1" si="1"/>
        <v>5</v>
      </c>
      <c r="Q14">
        <f t="shared" ca="1" si="0"/>
        <v>7</v>
      </c>
      <c r="R14">
        <f t="shared" ca="1" si="0"/>
        <v>7</v>
      </c>
      <c r="S14">
        <f t="shared" ca="1" si="0"/>
        <v>1</v>
      </c>
    </row>
    <row r="15" spans="1:39" x14ac:dyDescent="0.3">
      <c r="A15" s="4">
        <v>105</v>
      </c>
      <c r="B15" s="4">
        <v>1</v>
      </c>
      <c r="C15" s="4">
        <v>5</v>
      </c>
      <c r="D15" t="s">
        <v>40</v>
      </c>
      <c r="E15" t="s">
        <v>124</v>
      </c>
      <c r="F15"/>
      <c r="G15" s="33">
        <v>2</v>
      </c>
      <c r="H15">
        <v>3</v>
      </c>
      <c r="I15">
        <v>2</v>
      </c>
      <c r="J15" s="34">
        <v>6</v>
      </c>
      <c r="K15"/>
      <c r="L15"/>
      <c r="P15">
        <f t="shared" ca="1" si="1"/>
        <v>5</v>
      </c>
      <c r="Q15">
        <f t="shared" ca="1" si="0"/>
        <v>6</v>
      </c>
      <c r="R15">
        <f t="shared" ca="1" si="0"/>
        <v>7</v>
      </c>
      <c r="S15">
        <f t="shared" ca="1" si="0"/>
        <v>7</v>
      </c>
    </row>
    <row r="16" spans="1:39" x14ac:dyDescent="0.3">
      <c r="A16" s="4">
        <v>201</v>
      </c>
      <c r="B16" s="4">
        <v>2</v>
      </c>
      <c r="C16" s="4">
        <v>1</v>
      </c>
      <c r="D16" t="s">
        <v>33</v>
      </c>
      <c r="E16" t="s">
        <v>125</v>
      </c>
      <c r="F16"/>
      <c r="G16" s="33">
        <v>4</v>
      </c>
      <c r="H16">
        <v>7</v>
      </c>
      <c r="I16">
        <v>1</v>
      </c>
      <c r="J16" s="34">
        <v>7</v>
      </c>
      <c r="K16"/>
      <c r="L16"/>
      <c r="P16">
        <f t="shared" ca="1" si="1"/>
        <v>4</v>
      </c>
      <c r="Q16">
        <f t="shared" ca="1" si="0"/>
        <v>2</v>
      </c>
      <c r="R16">
        <f t="shared" ca="1" si="0"/>
        <v>6</v>
      </c>
      <c r="S16">
        <f t="shared" ca="1" si="0"/>
        <v>1</v>
      </c>
    </row>
    <row r="17" spans="1:19" x14ac:dyDescent="0.3">
      <c r="A17" s="4">
        <v>202</v>
      </c>
      <c r="B17" s="4">
        <v>2</v>
      </c>
      <c r="C17" s="4">
        <v>2</v>
      </c>
      <c r="D17" t="s">
        <v>66</v>
      </c>
      <c r="E17" t="s">
        <v>126</v>
      </c>
      <c r="F17"/>
      <c r="G17" s="33">
        <v>7</v>
      </c>
      <c r="H17">
        <v>2</v>
      </c>
      <c r="I17">
        <v>1</v>
      </c>
      <c r="J17" s="34">
        <v>2</v>
      </c>
      <c r="K17"/>
      <c r="L17"/>
      <c r="P17">
        <f t="shared" ca="1" si="1"/>
        <v>5</v>
      </c>
      <c r="Q17">
        <f t="shared" ca="1" si="0"/>
        <v>6</v>
      </c>
      <c r="R17">
        <f t="shared" ca="1" si="0"/>
        <v>1</v>
      </c>
      <c r="S17">
        <f t="shared" ca="1" si="0"/>
        <v>6</v>
      </c>
    </row>
    <row r="18" spans="1:19" x14ac:dyDescent="0.3">
      <c r="A18" s="4">
        <v>203</v>
      </c>
      <c r="B18" s="4">
        <v>2</v>
      </c>
      <c r="C18" s="4">
        <v>3</v>
      </c>
      <c r="D18" t="s">
        <v>128</v>
      </c>
      <c r="E18" t="s">
        <v>127</v>
      </c>
      <c r="F18"/>
      <c r="G18" s="33">
        <v>6</v>
      </c>
      <c r="H18">
        <v>7</v>
      </c>
      <c r="I18">
        <v>6</v>
      </c>
      <c r="J18" s="34">
        <v>3</v>
      </c>
      <c r="K18"/>
      <c r="L18"/>
      <c r="P18">
        <f t="shared" ca="1" si="1"/>
        <v>2</v>
      </c>
      <c r="Q18">
        <f t="shared" ca="1" si="0"/>
        <v>1</v>
      </c>
      <c r="R18">
        <f t="shared" ca="1" si="0"/>
        <v>6</v>
      </c>
      <c r="S18">
        <f t="shared" ca="1" si="0"/>
        <v>4</v>
      </c>
    </row>
    <row r="19" spans="1:19" x14ac:dyDescent="0.3">
      <c r="A19" s="4">
        <v>204</v>
      </c>
      <c r="B19" s="4">
        <v>2</v>
      </c>
      <c r="C19" s="4">
        <v>4</v>
      </c>
      <c r="D19" t="s">
        <v>50</v>
      </c>
      <c r="E19" t="s">
        <v>129</v>
      </c>
      <c r="F19"/>
      <c r="G19" s="33">
        <v>6</v>
      </c>
      <c r="H19">
        <v>4</v>
      </c>
      <c r="I19">
        <v>5</v>
      </c>
      <c r="J19" s="34">
        <v>5</v>
      </c>
      <c r="K19"/>
      <c r="L19"/>
      <c r="P19">
        <f t="shared" ca="1" si="1"/>
        <v>7</v>
      </c>
      <c r="Q19">
        <f t="shared" ca="1" si="0"/>
        <v>5</v>
      </c>
      <c r="R19">
        <f t="shared" ca="1" si="0"/>
        <v>6</v>
      </c>
      <c r="S19">
        <f t="shared" ca="1" si="0"/>
        <v>6</v>
      </c>
    </row>
    <row r="20" spans="1:19" x14ac:dyDescent="0.3">
      <c r="A20" s="4">
        <v>205</v>
      </c>
      <c r="B20" s="4">
        <v>2</v>
      </c>
      <c r="C20" s="4">
        <v>5</v>
      </c>
      <c r="D20" t="s">
        <v>48</v>
      </c>
      <c r="E20" t="s">
        <v>130</v>
      </c>
      <c r="F20"/>
      <c r="G20" s="33">
        <v>2</v>
      </c>
      <c r="H20">
        <v>2</v>
      </c>
      <c r="I20">
        <v>5</v>
      </c>
      <c r="J20" s="34">
        <v>6</v>
      </c>
      <c r="K20"/>
      <c r="L20"/>
      <c r="P20">
        <f t="shared" ca="1" si="1"/>
        <v>1</v>
      </c>
      <c r="Q20">
        <f t="shared" ca="1" si="0"/>
        <v>1</v>
      </c>
      <c r="R20">
        <f t="shared" ca="1" si="0"/>
        <v>7</v>
      </c>
      <c r="S20">
        <f t="shared" ca="1" si="0"/>
        <v>4</v>
      </c>
    </row>
    <row r="21" spans="1:19" x14ac:dyDescent="0.3">
      <c r="A21" s="4">
        <v>206</v>
      </c>
      <c r="B21" s="4">
        <v>2</v>
      </c>
      <c r="C21" s="4">
        <v>6</v>
      </c>
      <c r="D21" t="s">
        <v>47</v>
      </c>
      <c r="E21" t="s">
        <v>131</v>
      </c>
      <c r="F21"/>
      <c r="G21" s="33">
        <v>3</v>
      </c>
      <c r="H21">
        <v>1</v>
      </c>
      <c r="I21">
        <v>1</v>
      </c>
      <c r="J21" s="34">
        <v>1</v>
      </c>
      <c r="K21"/>
      <c r="L21"/>
      <c r="P21">
        <f t="shared" ca="1" si="1"/>
        <v>1</v>
      </c>
      <c r="Q21">
        <f t="shared" ca="1" si="0"/>
        <v>1</v>
      </c>
      <c r="R21">
        <f t="shared" ca="1" si="0"/>
        <v>4</v>
      </c>
      <c r="S21">
        <f t="shared" ca="1" si="0"/>
        <v>2</v>
      </c>
    </row>
    <row r="22" spans="1:19" x14ac:dyDescent="0.3">
      <c r="A22" s="4">
        <v>207</v>
      </c>
      <c r="B22" s="4">
        <v>2</v>
      </c>
      <c r="C22" s="4">
        <v>7</v>
      </c>
      <c r="D22" t="s">
        <v>46</v>
      </c>
      <c r="E22" t="s">
        <v>132</v>
      </c>
      <c r="F22"/>
      <c r="G22" s="33">
        <v>4</v>
      </c>
      <c r="H22">
        <v>1</v>
      </c>
      <c r="I22">
        <v>1</v>
      </c>
      <c r="J22" s="34">
        <v>2</v>
      </c>
      <c r="K22"/>
      <c r="L22"/>
      <c r="P22">
        <f t="shared" ca="1" si="1"/>
        <v>7</v>
      </c>
      <c r="Q22">
        <f t="shared" ca="1" si="0"/>
        <v>4</v>
      </c>
      <c r="R22">
        <f t="shared" ca="1" si="0"/>
        <v>3</v>
      </c>
      <c r="S22">
        <f t="shared" ca="1" si="0"/>
        <v>3</v>
      </c>
    </row>
    <row r="23" spans="1:19" x14ac:dyDescent="0.3">
      <c r="A23" s="4">
        <v>208</v>
      </c>
      <c r="B23" s="4">
        <v>2</v>
      </c>
      <c r="C23" s="4">
        <v>8</v>
      </c>
      <c r="D23" t="s">
        <v>49</v>
      </c>
      <c r="E23" t="s">
        <v>133</v>
      </c>
      <c r="F23"/>
      <c r="G23" s="33">
        <v>7</v>
      </c>
      <c r="H23">
        <v>7</v>
      </c>
      <c r="I23">
        <v>7</v>
      </c>
      <c r="J23" s="34">
        <v>3</v>
      </c>
      <c r="K23"/>
      <c r="L23"/>
      <c r="P23">
        <f t="shared" ca="1" si="1"/>
        <v>2</v>
      </c>
      <c r="Q23">
        <f t="shared" ca="1" si="0"/>
        <v>5</v>
      </c>
      <c r="R23">
        <f t="shared" ca="1" si="0"/>
        <v>1</v>
      </c>
      <c r="S23">
        <f t="shared" ca="1" si="0"/>
        <v>7</v>
      </c>
    </row>
    <row r="24" spans="1:19" x14ac:dyDescent="0.3">
      <c r="A24" s="4">
        <v>301</v>
      </c>
      <c r="B24" s="4">
        <v>3</v>
      </c>
      <c r="C24" s="4">
        <v>1</v>
      </c>
      <c r="D24" t="s">
        <v>58</v>
      </c>
      <c r="E24" t="s">
        <v>134</v>
      </c>
      <c r="F24"/>
      <c r="G24" s="33">
        <v>4</v>
      </c>
      <c r="H24">
        <v>1</v>
      </c>
      <c r="I24">
        <v>1</v>
      </c>
      <c r="J24" s="34">
        <v>5</v>
      </c>
      <c r="K24"/>
      <c r="L24"/>
      <c r="P24">
        <f t="shared" ca="1" si="1"/>
        <v>4</v>
      </c>
      <c r="Q24">
        <f t="shared" ca="1" si="0"/>
        <v>5</v>
      </c>
      <c r="R24">
        <f t="shared" ca="1" si="0"/>
        <v>1</v>
      </c>
      <c r="S24">
        <f t="shared" ca="1" si="0"/>
        <v>4</v>
      </c>
    </row>
    <row r="25" spans="1:19" x14ac:dyDescent="0.3">
      <c r="A25" s="4">
        <v>302</v>
      </c>
      <c r="B25" s="4">
        <v>3</v>
      </c>
      <c r="C25" s="4">
        <v>2</v>
      </c>
      <c r="D25" t="s">
        <v>59</v>
      </c>
      <c r="E25" t="s">
        <v>135</v>
      </c>
      <c r="F25"/>
      <c r="G25" s="33">
        <v>2</v>
      </c>
      <c r="H25">
        <v>7</v>
      </c>
      <c r="I25">
        <v>2</v>
      </c>
      <c r="J25" s="34">
        <v>1</v>
      </c>
      <c r="K25"/>
      <c r="L25"/>
      <c r="P25">
        <f t="shared" ca="1" si="1"/>
        <v>2</v>
      </c>
      <c r="Q25">
        <f t="shared" ca="1" si="0"/>
        <v>4</v>
      </c>
      <c r="R25">
        <f t="shared" ca="1" si="0"/>
        <v>1</v>
      </c>
      <c r="S25">
        <f t="shared" ca="1" si="0"/>
        <v>2</v>
      </c>
    </row>
    <row r="26" spans="1:19" x14ac:dyDescent="0.3">
      <c r="A26" s="4">
        <v>303</v>
      </c>
      <c r="B26" s="4">
        <v>3</v>
      </c>
      <c r="C26" s="4">
        <v>3</v>
      </c>
      <c r="D26" t="s">
        <v>137</v>
      </c>
      <c r="E26" t="s">
        <v>136</v>
      </c>
      <c r="F26"/>
      <c r="G26" s="33">
        <v>1</v>
      </c>
      <c r="H26">
        <v>5</v>
      </c>
      <c r="I26">
        <v>4</v>
      </c>
      <c r="J26" s="34">
        <v>1</v>
      </c>
      <c r="K26"/>
      <c r="L26"/>
      <c r="P26">
        <f t="shared" ca="1" si="1"/>
        <v>6</v>
      </c>
      <c r="Q26">
        <f t="shared" ca="1" si="0"/>
        <v>4</v>
      </c>
      <c r="R26">
        <f t="shared" ca="1" si="0"/>
        <v>1</v>
      </c>
      <c r="S26">
        <f t="shared" ca="1" si="0"/>
        <v>7</v>
      </c>
    </row>
    <row r="27" spans="1:19" x14ac:dyDescent="0.3">
      <c r="A27" s="4">
        <v>304</v>
      </c>
      <c r="B27" s="4">
        <v>3</v>
      </c>
      <c r="C27" s="4">
        <v>4</v>
      </c>
      <c r="D27" t="s">
        <v>137</v>
      </c>
      <c r="E27" t="s">
        <v>138</v>
      </c>
      <c r="F27"/>
      <c r="G27" s="33">
        <v>6</v>
      </c>
      <c r="H27">
        <v>5</v>
      </c>
      <c r="I27">
        <v>1</v>
      </c>
      <c r="J27" s="34">
        <v>5</v>
      </c>
      <c r="K27"/>
      <c r="L27"/>
      <c r="P27">
        <f t="shared" ca="1" si="1"/>
        <v>1</v>
      </c>
      <c r="Q27">
        <f t="shared" ca="1" si="1"/>
        <v>5</v>
      </c>
      <c r="R27">
        <f t="shared" ca="1" si="1"/>
        <v>2</v>
      </c>
      <c r="S27">
        <f t="shared" ca="1" si="1"/>
        <v>2</v>
      </c>
    </row>
    <row r="28" spans="1:19" x14ac:dyDescent="0.3">
      <c r="A28" s="4">
        <v>305</v>
      </c>
      <c r="B28" s="4">
        <v>3</v>
      </c>
      <c r="C28" s="4">
        <v>5</v>
      </c>
      <c r="D28" t="s">
        <v>139</v>
      </c>
      <c r="E28" t="s">
        <v>136</v>
      </c>
      <c r="F28"/>
      <c r="G28" s="33">
        <v>4</v>
      </c>
      <c r="H28">
        <v>6</v>
      </c>
      <c r="I28">
        <v>6</v>
      </c>
      <c r="J28" s="34">
        <v>7</v>
      </c>
      <c r="K28"/>
      <c r="L28"/>
      <c r="P28">
        <f t="shared" ca="1" si="1"/>
        <v>3</v>
      </c>
      <c r="Q28">
        <f t="shared" ca="1" si="1"/>
        <v>5</v>
      </c>
      <c r="R28">
        <f t="shared" ca="1" si="1"/>
        <v>2</v>
      </c>
      <c r="S28">
        <f t="shared" ca="1" si="1"/>
        <v>1</v>
      </c>
    </row>
    <row r="29" spans="1:19" x14ac:dyDescent="0.3">
      <c r="A29" s="4">
        <v>306</v>
      </c>
      <c r="B29" s="4">
        <v>3</v>
      </c>
      <c r="C29" s="4">
        <v>6</v>
      </c>
      <c r="D29" t="s">
        <v>141</v>
      </c>
      <c r="E29" t="s">
        <v>140</v>
      </c>
      <c r="F29"/>
      <c r="G29" s="33">
        <v>2</v>
      </c>
      <c r="H29">
        <v>1</v>
      </c>
      <c r="I29">
        <v>6</v>
      </c>
      <c r="J29" s="34">
        <v>4</v>
      </c>
      <c r="K29"/>
      <c r="L29"/>
      <c r="P29">
        <f t="shared" ca="1" si="1"/>
        <v>5</v>
      </c>
      <c r="Q29">
        <f t="shared" ca="1" si="1"/>
        <v>5</v>
      </c>
      <c r="R29">
        <f t="shared" ca="1" si="1"/>
        <v>7</v>
      </c>
      <c r="S29">
        <f t="shared" ca="1" si="1"/>
        <v>1</v>
      </c>
    </row>
    <row r="30" spans="1:19" x14ac:dyDescent="0.3">
      <c r="A30" s="4">
        <v>401</v>
      </c>
      <c r="B30" s="4">
        <v>4</v>
      </c>
      <c r="C30" s="4">
        <v>1</v>
      </c>
      <c r="D30" t="s">
        <v>57</v>
      </c>
      <c r="E30" t="s">
        <v>123</v>
      </c>
      <c r="F30"/>
      <c r="G30" s="33">
        <v>4</v>
      </c>
      <c r="H30">
        <v>4</v>
      </c>
      <c r="I30">
        <v>5</v>
      </c>
      <c r="J30" s="34">
        <v>1</v>
      </c>
      <c r="K30"/>
      <c r="L30"/>
      <c r="P30">
        <f t="shared" ca="1" si="1"/>
        <v>7</v>
      </c>
      <c r="Q30">
        <f t="shared" ca="1" si="1"/>
        <v>6</v>
      </c>
      <c r="R30">
        <f t="shared" ca="1" si="1"/>
        <v>2</v>
      </c>
      <c r="S30">
        <f t="shared" ca="1" si="1"/>
        <v>3</v>
      </c>
    </row>
    <row r="31" spans="1:19" x14ac:dyDescent="0.3">
      <c r="A31" s="4">
        <v>402</v>
      </c>
      <c r="B31" s="4">
        <v>4</v>
      </c>
      <c r="C31" s="4">
        <v>2</v>
      </c>
      <c r="D31" t="s">
        <v>65</v>
      </c>
      <c r="E31" t="s">
        <v>142</v>
      </c>
      <c r="F31"/>
      <c r="G31" s="33">
        <v>3</v>
      </c>
      <c r="H31">
        <v>6</v>
      </c>
      <c r="I31">
        <v>4</v>
      </c>
      <c r="J31" s="34">
        <v>5</v>
      </c>
      <c r="K31"/>
      <c r="L31"/>
      <c r="P31">
        <f t="shared" ca="1" si="1"/>
        <v>1</v>
      </c>
      <c r="Q31">
        <f t="shared" ca="1" si="1"/>
        <v>2</v>
      </c>
      <c r="R31">
        <f t="shared" ca="1" si="1"/>
        <v>5</v>
      </c>
      <c r="S31">
        <f t="shared" ca="1" si="1"/>
        <v>3</v>
      </c>
    </row>
    <row r="32" spans="1:19" x14ac:dyDescent="0.3">
      <c r="A32" s="4">
        <v>403</v>
      </c>
      <c r="B32" s="4">
        <v>4</v>
      </c>
      <c r="C32" s="4">
        <v>3</v>
      </c>
      <c r="D32" t="s">
        <v>144</v>
      </c>
      <c r="E32" t="s">
        <v>143</v>
      </c>
      <c r="F32"/>
      <c r="G32" s="33">
        <v>5</v>
      </c>
      <c r="H32">
        <v>6</v>
      </c>
      <c r="I32">
        <v>5</v>
      </c>
      <c r="J32" s="34">
        <v>4</v>
      </c>
      <c r="K32"/>
      <c r="L32"/>
      <c r="P32">
        <f t="shared" ca="1" si="1"/>
        <v>7</v>
      </c>
      <c r="Q32">
        <f t="shared" ca="1" si="1"/>
        <v>4</v>
      </c>
      <c r="R32">
        <f t="shared" ca="1" si="1"/>
        <v>7</v>
      </c>
      <c r="S32">
        <f t="shared" ca="1" si="1"/>
        <v>2</v>
      </c>
    </row>
    <row r="33" spans="1:19" x14ac:dyDescent="0.3">
      <c r="A33" s="4">
        <v>404</v>
      </c>
      <c r="B33" s="4">
        <v>4</v>
      </c>
      <c r="C33" s="4">
        <v>4</v>
      </c>
      <c r="D33" t="s">
        <v>67</v>
      </c>
      <c r="E33" t="s">
        <v>145</v>
      </c>
      <c r="F33"/>
      <c r="G33" s="33">
        <v>1</v>
      </c>
      <c r="H33">
        <v>3</v>
      </c>
      <c r="I33">
        <v>1</v>
      </c>
      <c r="J33" s="34">
        <v>3</v>
      </c>
      <c r="K33"/>
      <c r="L33"/>
      <c r="P33">
        <f t="shared" ca="1" si="1"/>
        <v>6</v>
      </c>
      <c r="Q33">
        <f t="shared" ca="1" si="1"/>
        <v>4</v>
      </c>
      <c r="R33">
        <f t="shared" ca="1" si="1"/>
        <v>1</v>
      </c>
      <c r="S33">
        <f t="shared" ca="1" si="1"/>
        <v>1</v>
      </c>
    </row>
    <row r="34" spans="1:19" x14ac:dyDescent="0.3">
      <c r="A34" s="4">
        <v>405</v>
      </c>
      <c r="B34" s="4">
        <v>4</v>
      </c>
      <c r="C34" s="4">
        <v>5</v>
      </c>
      <c r="D34" t="s">
        <v>66</v>
      </c>
      <c r="E34" t="s">
        <v>146</v>
      </c>
      <c r="F34"/>
      <c r="G34" s="33">
        <v>2</v>
      </c>
      <c r="H34">
        <v>1</v>
      </c>
      <c r="I34">
        <v>7</v>
      </c>
      <c r="J34" s="34">
        <v>3</v>
      </c>
      <c r="K34"/>
      <c r="L34"/>
      <c r="P34">
        <f t="shared" ca="1" si="1"/>
        <v>3</v>
      </c>
      <c r="Q34">
        <f t="shared" ca="1" si="1"/>
        <v>7</v>
      </c>
      <c r="R34">
        <f t="shared" ca="1" si="1"/>
        <v>6</v>
      </c>
      <c r="S34">
        <f t="shared" ca="1" si="1"/>
        <v>1</v>
      </c>
    </row>
    <row r="35" spans="1:19" x14ac:dyDescent="0.3">
      <c r="A35" s="4">
        <v>501</v>
      </c>
      <c r="B35" s="4">
        <v>5</v>
      </c>
      <c r="C35" s="4">
        <v>1</v>
      </c>
      <c r="D35" t="s">
        <v>148</v>
      </c>
      <c r="E35" t="s">
        <v>147</v>
      </c>
      <c r="F35"/>
      <c r="G35" s="33">
        <v>5</v>
      </c>
      <c r="H35">
        <v>1</v>
      </c>
      <c r="I35">
        <v>3</v>
      </c>
      <c r="J35" s="34">
        <v>2</v>
      </c>
      <c r="K35"/>
      <c r="L35"/>
      <c r="P35">
        <f t="shared" ca="1" si="1"/>
        <v>1</v>
      </c>
      <c r="Q35">
        <f t="shared" ca="1" si="1"/>
        <v>7</v>
      </c>
      <c r="R35">
        <f t="shared" ca="1" si="1"/>
        <v>6</v>
      </c>
      <c r="S35">
        <f t="shared" ca="1" si="1"/>
        <v>1</v>
      </c>
    </row>
    <row r="36" spans="1:19" x14ac:dyDescent="0.3">
      <c r="A36" s="4">
        <v>502</v>
      </c>
      <c r="B36" s="4">
        <v>5</v>
      </c>
      <c r="C36" s="4">
        <v>2</v>
      </c>
      <c r="D36" t="s">
        <v>150</v>
      </c>
      <c r="E36" t="s">
        <v>149</v>
      </c>
      <c r="F36"/>
      <c r="G36" s="33">
        <v>4</v>
      </c>
      <c r="H36">
        <v>4</v>
      </c>
      <c r="I36">
        <v>7</v>
      </c>
      <c r="J36" s="34">
        <v>3</v>
      </c>
      <c r="K36"/>
      <c r="L36"/>
      <c r="P36">
        <f t="shared" ca="1" si="1"/>
        <v>2</v>
      </c>
      <c r="Q36">
        <f t="shared" ca="1" si="1"/>
        <v>3</v>
      </c>
      <c r="R36">
        <f t="shared" ca="1" si="1"/>
        <v>5</v>
      </c>
      <c r="S36">
        <f t="shared" ca="1" si="1"/>
        <v>2</v>
      </c>
    </row>
    <row r="37" spans="1:19" x14ac:dyDescent="0.3">
      <c r="A37" s="4">
        <v>503</v>
      </c>
      <c r="B37" s="4">
        <v>5</v>
      </c>
      <c r="C37" s="4">
        <v>3</v>
      </c>
      <c r="D37" t="s">
        <v>152</v>
      </c>
      <c r="E37" t="s">
        <v>151</v>
      </c>
      <c r="F37"/>
      <c r="G37" s="33">
        <v>6</v>
      </c>
      <c r="H37">
        <v>6</v>
      </c>
      <c r="I37">
        <v>4</v>
      </c>
      <c r="J37" s="34">
        <v>1</v>
      </c>
      <c r="K37"/>
      <c r="L37"/>
      <c r="P37">
        <f t="shared" ca="1" si="1"/>
        <v>5</v>
      </c>
      <c r="Q37">
        <f t="shared" ca="1" si="1"/>
        <v>3</v>
      </c>
      <c r="R37">
        <f t="shared" ca="1" si="1"/>
        <v>6</v>
      </c>
      <c r="S37">
        <f t="shared" ca="1" si="1"/>
        <v>5</v>
      </c>
    </row>
    <row r="38" spans="1:19" x14ac:dyDescent="0.3">
      <c r="A38" s="4">
        <v>504</v>
      </c>
      <c r="B38" s="4">
        <v>5</v>
      </c>
      <c r="C38" s="4">
        <v>4</v>
      </c>
      <c r="D38" t="s">
        <v>64</v>
      </c>
      <c r="E38" t="s">
        <v>136</v>
      </c>
      <c r="F38"/>
      <c r="G38" s="33">
        <v>1</v>
      </c>
      <c r="H38">
        <v>7</v>
      </c>
      <c r="I38">
        <v>5</v>
      </c>
      <c r="J38" s="34">
        <v>7</v>
      </c>
      <c r="K38"/>
      <c r="L38"/>
      <c r="P38">
        <f t="shared" ca="1" si="1"/>
        <v>6</v>
      </c>
      <c r="Q38">
        <f t="shared" ca="1" si="1"/>
        <v>2</v>
      </c>
      <c r="R38">
        <f t="shared" ca="1" si="1"/>
        <v>3</v>
      </c>
      <c r="S38">
        <f t="shared" ca="1" si="1"/>
        <v>3</v>
      </c>
    </row>
    <row r="39" spans="1:19" x14ac:dyDescent="0.3">
      <c r="A39" s="4">
        <v>505</v>
      </c>
      <c r="B39" s="4">
        <v>5</v>
      </c>
      <c r="C39" s="4">
        <v>5</v>
      </c>
      <c r="D39" t="s">
        <v>154</v>
      </c>
      <c r="E39" t="s">
        <v>153</v>
      </c>
      <c r="F39"/>
      <c r="G39" s="33">
        <v>5</v>
      </c>
      <c r="H39">
        <v>3</v>
      </c>
      <c r="I39">
        <v>4</v>
      </c>
      <c r="J39" s="34">
        <v>4</v>
      </c>
      <c r="K39"/>
      <c r="L39"/>
      <c r="P39">
        <f t="shared" ca="1" si="1"/>
        <v>1</v>
      </c>
      <c r="Q39">
        <f t="shared" ca="1" si="1"/>
        <v>4</v>
      </c>
      <c r="R39">
        <f t="shared" ca="1" si="1"/>
        <v>2</v>
      </c>
      <c r="S39">
        <f t="shared" ca="1" si="1"/>
        <v>7</v>
      </c>
    </row>
    <row r="40" spans="1:19" x14ac:dyDescent="0.3">
      <c r="A40" s="4">
        <v>601</v>
      </c>
      <c r="B40" s="4">
        <v>6</v>
      </c>
      <c r="C40" s="4">
        <v>1</v>
      </c>
      <c r="D40" t="s">
        <v>156</v>
      </c>
      <c r="E40" t="s">
        <v>155</v>
      </c>
      <c r="F40"/>
      <c r="G40" s="33">
        <v>3</v>
      </c>
      <c r="H40">
        <v>7</v>
      </c>
      <c r="I40">
        <v>3</v>
      </c>
      <c r="J40" s="34">
        <v>3</v>
      </c>
      <c r="K40"/>
      <c r="L40"/>
      <c r="P40">
        <f t="shared" ca="1" si="1"/>
        <v>4</v>
      </c>
      <c r="Q40">
        <f t="shared" ca="1" si="1"/>
        <v>5</v>
      </c>
      <c r="R40">
        <f t="shared" ca="1" si="1"/>
        <v>2</v>
      </c>
      <c r="S40">
        <f t="shared" ca="1" si="1"/>
        <v>6</v>
      </c>
    </row>
    <row r="41" spans="1:19" x14ac:dyDescent="0.3">
      <c r="A41" s="4">
        <v>602</v>
      </c>
      <c r="B41" s="4">
        <v>6</v>
      </c>
      <c r="C41" s="4">
        <v>2</v>
      </c>
      <c r="D41" t="s">
        <v>158</v>
      </c>
      <c r="E41" t="s">
        <v>157</v>
      </c>
      <c r="F41"/>
      <c r="G41" s="33">
        <v>4</v>
      </c>
      <c r="H41">
        <v>6</v>
      </c>
      <c r="I41">
        <v>7</v>
      </c>
      <c r="J41" s="34">
        <v>3</v>
      </c>
      <c r="K41"/>
      <c r="L41"/>
      <c r="P41">
        <f t="shared" ca="1" si="1"/>
        <v>7</v>
      </c>
      <c r="Q41">
        <f t="shared" ca="1" si="1"/>
        <v>3</v>
      </c>
      <c r="R41">
        <f t="shared" ca="1" si="1"/>
        <v>4</v>
      </c>
      <c r="S41">
        <f t="shared" ca="1" si="1"/>
        <v>3</v>
      </c>
    </row>
    <row r="42" spans="1:19" x14ac:dyDescent="0.3">
      <c r="A42" s="4">
        <v>603</v>
      </c>
      <c r="B42" s="4">
        <v>6</v>
      </c>
      <c r="C42" s="4">
        <v>3</v>
      </c>
      <c r="D42" t="s">
        <v>160</v>
      </c>
      <c r="E42" t="s">
        <v>159</v>
      </c>
      <c r="F42"/>
      <c r="G42" s="33">
        <v>5</v>
      </c>
      <c r="H42">
        <v>6</v>
      </c>
      <c r="I42">
        <v>5</v>
      </c>
      <c r="J42" s="34">
        <v>3</v>
      </c>
      <c r="K42"/>
      <c r="L42"/>
      <c r="P42">
        <f t="shared" ca="1" si="1"/>
        <v>1</v>
      </c>
      <c r="Q42">
        <f t="shared" ca="1" si="1"/>
        <v>3</v>
      </c>
      <c r="R42">
        <f t="shared" ca="1" si="1"/>
        <v>2</v>
      </c>
      <c r="S42">
        <f t="shared" ca="1" si="1"/>
        <v>6</v>
      </c>
    </row>
    <row r="43" spans="1:19" x14ac:dyDescent="0.3">
      <c r="A43" s="4">
        <v>604</v>
      </c>
      <c r="B43" s="4">
        <v>6</v>
      </c>
      <c r="C43" s="4">
        <v>4</v>
      </c>
      <c r="D43" t="s">
        <v>162</v>
      </c>
      <c r="E43" t="s">
        <v>161</v>
      </c>
      <c r="F43"/>
      <c r="G43" s="33">
        <v>5</v>
      </c>
      <c r="H43">
        <v>2</v>
      </c>
      <c r="I43">
        <v>1</v>
      </c>
      <c r="J43" s="34">
        <v>6</v>
      </c>
      <c r="K43"/>
      <c r="L43"/>
      <c r="P43">
        <f t="shared" ca="1" si="1"/>
        <v>1</v>
      </c>
      <c r="Q43">
        <f t="shared" ca="1" si="1"/>
        <v>6</v>
      </c>
      <c r="R43">
        <f t="shared" ca="1" si="1"/>
        <v>6</v>
      </c>
      <c r="S43">
        <f t="shared" ca="1" si="1"/>
        <v>4</v>
      </c>
    </row>
    <row r="44" spans="1:19" x14ac:dyDescent="0.3">
      <c r="A44" s="4">
        <v>605</v>
      </c>
      <c r="B44" s="4">
        <v>6</v>
      </c>
      <c r="C44" s="4">
        <v>5</v>
      </c>
      <c r="D44" t="s">
        <v>164</v>
      </c>
      <c r="E44" t="s">
        <v>163</v>
      </c>
      <c r="F44"/>
      <c r="G44" s="33">
        <v>4</v>
      </c>
      <c r="H44">
        <v>1</v>
      </c>
      <c r="I44">
        <v>4</v>
      </c>
      <c r="J44" s="34">
        <v>6</v>
      </c>
      <c r="K44"/>
      <c r="L44"/>
      <c r="P44">
        <f t="shared" ref="P44:S75" ca="1" si="2">RANDBETWEEN(1,7)</f>
        <v>7</v>
      </c>
      <c r="Q44">
        <f t="shared" ca="1" si="2"/>
        <v>2</v>
      </c>
      <c r="R44">
        <f t="shared" ca="1" si="2"/>
        <v>3</v>
      </c>
      <c r="S44">
        <f t="shared" ca="1" si="2"/>
        <v>5</v>
      </c>
    </row>
    <row r="45" spans="1:19" x14ac:dyDescent="0.3">
      <c r="A45" s="4">
        <v>701</v>
      </c>
      <c r="B45" s="4">
        <v>7</v>
      </c>
      <c r="C45" s="4">
        <v>1</v>
      </c>
      <c r="D45" t="s">
        <v>165</v>
      </c>
      <c r="E45" t="s">
        <v>129</v>
      </c>
      <c r="F45"/>
      <c r="G45" s="33">
        <v>7</v>
      </c>
      <c r="H45">
        <v>2</v>
      </c>
      <c r="I45">
        <v>5</v>
      </c>
      <c r="J45" s="34">
        <v>7</v>
      </c>
      <c r="K45"/>
      <c r="L45"/>
      <c r="P45">
        <f t="shared" ca="1" si="2"/>
        <v>4</v>
      </c>
      <c r="Q45">
        <f t="shared" ca="1" si="2"/>
        <v>7</v>
      </c>
      <c r="R45">
        <f t="shared" ca="1" si="2"/>
        <v>3</v>
      </c>
      <c r="S45">
        <f t="shared" ca="1" si="2"/>
        <v>5</v>
      </c>
    </row>
    <row r="46" spans="1:19" x14ac:dyDescent="0.3">
      <c r="A46" s="4">
        <v>702</v>
      </c>
      <c r="B46" s="4">
        <v>7</v>
      </c>
      <c r="C46" s="4">
        <v>2</v>
      </c>
      <c r="D46" t="s">
        <v>167</v>
      </c>
      <c r="E46" t="s">
        <v>166</v>
      </c>
      <c r="F46"/>
      <c r="G46" s="33">
        <v>3</v>
      </c>
      <c r="H46">
        <v>1</v>
      </c>
      <c r="I46">
        <v>2</v>
      </c>
      <c r="J46" s="34">
        <v>4</v>
      </c>
      <c r="K46"/>
      <c r="L46"/>
      <c r="P46">
        <f t="shared" ca="1" si="2"/>
        <v>6</v>
      </c>
      <c r="Q46">
        <f t="shared" ca="1" si="2"/>
        <v>5</v>
      </c>
      <c r="R46">
        <f t="shared" ca="1" si="2"/>
        <v>5</v>
      </c>
      <c r="S46">
        <f t="shared" ca="1" si="2"/>
        <v>5</v>
      </c>
    </row>
    <row r="47" spans="1:19" x14ac:dyDescent="0.3">
      <c r="A47" s="4">
        <v>703</v>
      </c>
      <c r="B47" s="4">
        <v>7</v>
      </c>
      <c r="C47" s="4">
        <v>3</v>
      </c>
      <c r="D47" t="s">
        <v>169</v>
      </c>
      <c r="E47" t="s">
        <v>168</v>
      </c>
      <c r="F47"/>
      <c r="G47" s="33">
        <v>1</v>
      </c>
      <c r="H47">
        <v>1</v>
      </c>
      <c r="I47">
        <v>4</v>
      </c>
      <c r="J47" s="34">
        <v>6</v>
      </c>
      <c r="K47"/>
      <c r="L47"/>
      <c r="P47">
        <f t="shared" ca="1" si="2"/>
        <v>4</v>
      </c>
      <c r="Q47">
        <f t="shared" ca="1" si="2"/>
        <v>4</v>
      </c>
      <c r="R47">
        <f t="shared" ca="1" si="2"/>
        <v>3</v>
      </c>
      <c r="S47">
        <f t="shared" ca="1" si="2"/>
        <v>1</v>
      </c>
    </row>
    <row r="48" spans="1:19" x14ac:dyDescent="0.3">
      <c r="A48" s="4">
        <v>704</v>
      </c>
      <c r="B48" s="4">
        <v>7</v>
      </c>
      <c r="C48" s="4">
        <v>4</v>
      </c>
      <c r="D48" t="s">
        <v>75</v>
      </c>
      <c r="E48" t="s">
        <v>170</v>
      </c>
      <c r="F48"/>
      <c r="G48" s="33">
        <v>2</v>
      </c>
      <c r="H48">
        <v>7</v>
      </c>
      <c r="I48">
        <v>4</v>
      </c>
      <c r="J48" s="34">
        <v>4</v>
      </c>
      <c r="K48"/>
      <c r="L48"/>
      <c r="P48">
        <f t="shared" ca="1" si="2"/>
        <v>7</v>
      </c>
      <c r="Q48">
        <f t="shared" ca="1" si="2"/>
        <v>6</v>
      </c>
      <c r="R48">
        <f t="shared" ca="1" si="2"/>
        <v>1</v>
      </c>
      <c r="S48">
        <f t="shared" ca="1" si="2"/>
        <v>4</v>
      </c>
    </row>
    <row r="49" spans="1:19" x14ac:dyDescent="0.3">
      <c r="A49" s="4">
        <v>705</v>
      </c>
      <c r="B49" s="4">
        <v>7</v>
      </c>
      <c r="C49" s="4">
        <v>5</v>
      </c>
      <c r="D49" t="s">
        <v>171</v>
      </c>
      <c r="E49" t="s">
        <v>136</v>
      </c>
      <c r="F49"/>
      <c r="G49" s="33">
        <v>6</v>
      </c>
      <c r="H49">
        <v>4</v>
      </c>
      <c r="I49">
        <v>5</v>
      </c>
      <c r="J49" s="34">
        <v>6</v>
      </c>
      <c r="K49"/>
      <c r="L49"/>
      <c r="P49">
        <f t="shared" ca="1" si="2"/>
        <v>6</v>
      </c>
      <c r="Q49">
        <f t="shared" ca="1" si="2"/>
        <v>2</v>
      </c>
      <c r="R49">
        <f t="shared" ca="1" si="2"/>
        <v>3</v>
      </c>
      <c r="S49">
        <f t="shared" ca="1" si="2"/>
        <v>6</v>
      </c>
    </row>
    <row r="50" spans="1:19" x14ac:dyDescent="0.3">
      <c r="A50" s="4">
        <v>801</v>
      </c>
      <c r="B50" s="4">
        <v>8</v>
      </c>
      <c r="C50" s="4">
        <v>1</v>
      </c>
      <c r="D50" t="s">
        <v>173</v>
      </c>
      <c r="E50" t="s">
        <v>172</v>
      </c>
      <c r="F50"/>
      <c r="G50" s="33">
        <v>1</v>
      </c>
      <c r="H50">
        <v>1</v>
      </c>
      <c r="I50">
        <v>6</v>
      </c>
      <c r="J50" s="34">
        <v>6</v>
      </c>
      <c r="K50"/>
      <c r="L50"/>
      <c r="P50">
        <f t="shared" ca="1" si="2"/>
        <v>2</v>
      </c>
      <c r="Q50">
        <f t="shared" ca="1" si="2"/>
        <v>4</v>
      </c>
      <c r="R50">
        <f t="shared" ca="1" si="2"/>
        <v>7</v>
      </c>
      <c r="S50">
        <f t="shared" ca="1" si="2"/>
        <v>5</v>
      </c>
    </row>
    <row r="51" spans="1:19" x14ac:dyDescent="0.3">
      <c r="A51" s="4">
        <v>802</v>
      </c>
      <c r="B51" s="4">
        <v>8</v>
      </c>
      <c r="C51" s="4">
        <v>2</v>
      </c>
      <c r="D51" t="s">
        <v>74</v>
      </c>
      <c r="E51" t="s">
        <v>136</v>
      </c>
      <c r="F51"/>
      <c r="G51" s="33">
        <v>3</v>
      </c>
      <c r="H51">
        <v>1</v>
      </c>
      <c r="I51">
        <v>6</v>
      </c>
      <c r="J51" s="34">
        <v>5</v>
      </c>
      <c r="K51"/>
      <c r="L51"/>
      <c r="P51">
        <f t="shared" ca="1" si="2"/>
        <v>6</v>
      </c>
      <c r="Q51">
        <f t="shared" ca="1" si="2"/>
        <v>1</v>
      </c>
      <c r="R51">
        <f t="shared" ca="1" si="2"/>
        <v>3</v>
      </c>
      <c r="S51">
        <f t="shared" ca="1" si="2"/>
        <v>3</v>
      </c>
    </row>
    <row r="52" spans="1:19" x14ac:dyDescent="0.3">
      <c r="A52" s="4">
        <v>803</v>
      </c>
      <c r="B52" s="4">
        <v>8</v>
      </c>
      <c r="C52" s="4">
        <v>3</v>
      </c>
      <c r="D52" t="s">
        <v>175</v>
      </c>
      <c r="E52" t="s">
        <v>174</v>
      </c>
      <c r="F52"/>
      <c r="G52" s="33">
        <v>6</v>
      </c>
      <c r="H52">
        <v>6</v>
      </c>
      <c r="I52">
        <v>2</v>
      </c>
      <c r="J52" s="34">
        <v>1</v>
      </c>
      <c r="K52"/>
      <c r="L52"/>
      <c r="P52">
        <f t="shared" ca="1" si="2"/>
        <v>2</v>
      </c>
      <c r="Q52">
        <f t="shared" ca="1" si="2"/>
        <v>6</v>
      </c>
      <c r="R52">
        <f t="shared" ca="1" si="2"/>
        <v>2</v>
      </c>
      <c r="S52">
        <f t="shared" ca="1" si="2"/>
        <v>7</v>
      </c>
    </row>
    <row r="53" spans="1:19" x14ac:dyDescent="0.3">
      <c r="A53" s="4">
        <v>804</v>
      </c>
      <c r="B53" s="4">
        <v>8</v>
      </c>
      <c r="C53" s="4">
        <v>4</v>
      </c>
      <c r="D53" t="s">
        <v>57</v>
      </c>
      <c r="E53" t="s">
        <v>176</v>
      </c>
      <c r="F53"/>
      <c r="G53" s="33">
        <v>5</v>
      </c>
      <c r="H53">
        <v>3</v>
      </c>
      <c r="I53">
        <v>6</v>
      </c>
      <c r="J53" s="34">
        <v>1</v>
      </c>
      <c r="K53"/>
      <c r="L53"/>
      <c r="P53">
        <f t="shared" ca="1" si="2"/>
        <v>7</v>
      </c>
      <c r="Q53">
        <f t="shared" ca="1" si="2"/>
        <v>4</v>
      </c>
      <c r="R53">
        <f t="shared" ca="1" si="2"/>
        <v>3</v>
      </c>
      <c r="S53">
        <f t="shared" ca="1" si="2"/>
        <v>3</v>
      </c>
    </row>
    <row r="54" spans="1:19" x14ac:dyDescent="0.3">
      <c r="A54" s="4">
        <v>805</v>
      </c>
      <c r="B54" s="4">
        <v>8</v>
      </c>
      <c r="C54" s="4">
        <v>5</v>
      </c>
      <c r="D54" t="s">
        <v>177</v>
      </c>
      <c r="E54" t="s">
        <v>120</v>
      </c>
      <c r="F54"/>
      <c r="G54" s="33">
        <v>1</v>
      </c>
      <c r="H54">
        <v>1</v>
      </c>
      <c r="I54">
        <v>2</v>
      </c>
      <c r="J54" s="34">
        <v>3</v>
      </c>
      <c r="K54"/>
      <c r="L54"/>
      <c r="P54">
        <f t="shared" ca="1" si="2"/>
        <v>2</v>
      </c>
      <c r="Q54">
        <f t="shared" ca="1" si="2"/>
        <v>2</v>
      </c>
      <c r="R54">
        <f t="shared" ca="1" si="2"/>
        <v>3</v>
      </c>
      <c r="S54">
        <f t="shared" ca="1" si="2"/>
        <v>3</v>
      </c>
    </row>
    <row r="55" spans="1:19" x14ac:dyDescent="0.3">
      <c r="A55" s="4">
        <v>1101</v>
      </c>
      <c r="B55" s="4">
        <v>11</v>
      </c>
      <c r="C55" s="4">
        <v>1</v>
      </c>
      <c r="D55" t="s">
        <v>26</v>
      </c>
      <c r="E55" t="s">
        <v>146</v>
      </c>
      <c r="F55"/>
      <c r="G55" s="33">
        <v>2</v>
      </c>
      <c r="H55">
        <v>2</v>
      </c>
      <c r="I55">
        <v>7</v>
      </c>
      <c r="J55" s="34">
        <v>6</v>
      </c>
      <c r="K55"/>
      <c r="L55"/>
      <c r="P55">
        <f t="shared" ca="1" si="2"/>
        <v>4</v>
      </c>
      <c r="Q55">
        <f t="shared" ca="1" si="2"/>
        <v>7</v>
      </c>
      <c r="R55">
        <f t="shared" ca="1" si="2"/>
        <v>2</v>
      </c>
      <c r="S55">
        <f t="shared" ca="1" si="2"/>
        <v>4</v>
      </c>
    </row>
    <row r="56" spans="1:19" x14ac:dyDescent="0.3">
      <c r="A56" s="4">
        <v>1102</v>
      </c>
      <c r="B56" s="4">
        <v>11</v>
      </c>
      <c r="C56" s="4">
        <v>2</v>
      </c>
      <c r="D56" t="s">
        <v>25</v>
      </c>
      <c r="E56" t="s">
        <v>178</v>
      </c>
      <c r="F56"/>
      <c r="G56" s="33">
        <v>7</v>
      </c>
      <c r="H56">
        <v>2</v>
      </c>
      <c r="I56">
        <v>5</v>
      </c>
      <c r="J56" s="34">
        <v>3</v>
      </c>
      <c r="K56"/>
      <c r="L56"/>
      <c r="P56">
        <f t="shared" ca="1" si="2"/>
        <v>3</v>
      </c>
      <c r="Q56">
        <f t="shared" ca="1" si="2"/>
        <v>3</v>
      </c>
      <c r="R56">
        <f t="shared" ca="1" si="2"/>
        <v>6</v>
      </c>
      <c r="S56">
        <f t="shared" ca="1" si="2"/>
        <v>5</v>
      </c>
    </row>
    <row r="57" spans="1:19" x14ac:dyDescent="0.3">
      <c r="A57" s="4">
        <v>1103</v>
      </c>
      <c r="B57" s="4">
        <v>11</v>
      </c>
      <c r="C57" s="4">
        <v>3</v>
      </c>
      <c r="D57" t="s">
        <v>180</v>
      </c>
      <c r="E57" t="s">
        <v>179</v>
      </c>
      <c r="F57"/>
      <c r="G57" s="33">
        <v>1</v>
      </c>
      <c r="H57">
        <v>4</v>
      </c>
      <c r="I57">
        <v>2</v>
      </c>
      <c r="J57" s="34">
        <v>7</v>
      </c>
      <c r="K57"/>
      <c r="L57"/>
      <c r="P57">
        <f t="shared" ca="1" si="2"/>
        <v>5</v>
      </c>
      <c r="Q57">
        <f t="shared" ca="1" si="2"/>
        <v>7</v>
      </c>
      <c r="R57">
        <f t="shared" ca="1" si="2"/>
        <v>7</v>
      </c>
      <c r="S57">
        <f t="shared" ca="1" si="2"/>
        <v>3</v>
      </c>
    </row>
    <row r="58" spans="1:19" x14ac:dyDescent="0.3">
      <c r="A58" s="4">
        <v>1104</v>
      </c>
      <c r="B58" s="4">
        <v>11</v>
      </c>
      <c r="C58" s="4">
        <v>4</v>
      </c>
      <c r="D58" t="s">
        <v>181</v>
      </c>
      <c r="E58" t="s">
        <v>149</v>
      </c>
      <c r="F58"/>
      <c r="G58" s="33">
        <v>1</v>
      </c>
      <c r="H58">
        <v>6</v>
      </c>
      <c r="I58">
        <v>4</v>
      </c>
      <c r="J58" s="34">
        <v>2</v>
      </c>
      <c r="K58"/>
      <c r="L58"/>
      <c r="P58">
        <f t="shared" ca="1" si="2"/>
        <v>5</v>
      </c>
      <c r="Q58">
        <f t="shared" ca="1" si="2"/>
        <v>6</v>
      </c>
      <c r="R58">
        <f t="shared" ca="1" si="2"/>
        <v>5</v>
      </c>
      <c r="S58">
        <f t="shared" ca="1" si="2"/>
        <v>2</v>
      </c>
    </row>
    <row r="59" spans="1:19" x14ac:dyDescent="0.3">
      <c r="A59" s="4">
        <v>1105</v>
      </c>
      <c r="B59" s="4">
        <v>11</v>
      </c>
      <c r="C59" s="4">
        <v>5</v>
      </c>
      <c r="D59" t="s">
        <v>182</v>
      </c>
      <c r="E59" t="s">
        <v>136</v>
      </c>
      <c r="F59"/>
      <c r="G59" s="33">
        <v>7</v>
      </c>
      <c r="H59">
        <v>4</v>
      </c>
      <c r="I59">
        <v>6</v>
      </c>
      <c r="J59" s="34">
        <v>5</v>
      </c>
      <c r="K59"/>
      <c r="L59"/>
      <c r="P59">
        <f t="shared" ca="1" si="2"/>
        <v>5</v>
      </c>
      <c r="Q59">
        <f t="shared" ca="1" si="2"/>
        <v>1</v>
      </c>
      <c r="R59">
        <f t="shared" ca="1" si="2"/>
        <v>6</v>
      </c>
      <c r="S59">
        <f t="shared" ca="1" si="2"/>
        <v>3</v>
      </c>
    </row>
    <row r="60" spans="1:19" x14ac:dyDescent="0.3">
      <c r="A60" s="4">
        <v>1106</v>
      </c>
      <c r="B60" s="4">
        <v>11</v>
      </c>
      <c r="C60" s="4">
        <v>6</v>
      </c>
      <c r="D60" t="s">
        <v>184</v>
      </c>
      <c r="E60" t="s">
        <v>183</v>
      </c>
      <c r="F60"/>
      <c r="G60" s="33">
        <v>2</v>
      </c>
      <c r="H60">
        <v>6</v>
      </c>
      <c r="I60">
        <v>2</v>
      </c>
      <c r="J60" s="34">
        <v>3</v>
      </c>
      <c r="K60"/>
      <c r="L60"/>
      <c r="P60">
        <f t="shared" ca="1" si="2"/>
        <v>5</v>
      </c>
      <c r="Q60">
        <f t="shared" ca="1" si="2"/>
        <v>1</v>
      </c>
      <c r="R60">
        <f t="shared" ca="1" si="2"/>
        <v>1</v>
      </c>
      <c r="S60">
        <f t="shared" ca="1" si="2"/>
        <v>2</v>
      </c>
    </row>
    <row r="61" spans="1:19" x14ac:dyDescent="0.3">
      <c r="A61" s="4">
        <v>1107</v>
      </c>
      <c r="B61" s="4">
        <v>11</v>
      </c>
      <c r="C61" s="4">
        <v>7</v>
      </c>
      <c r="D61" t="s">
        <v>30</v>
      </c>
      <c r="E61" t="s">
        <v>185</v>
      </c>
      <c r="F61"/>
      <c r="G61" s="33">
        <v>2</v>
      </c>
      <c r="H61">
        <v>4</v>
      </c>
      <c r="I61">
        <v>4</v>
      </c>
      <c r="J61" s="34">
        <v>5</v>
      </c>
      <c r="K61"/>
      <c r="L61"/>
      <c r="P61">
        <f t="shared" ca="1" si="2"/>
        <v>1</v>
      </c>
      <c r="Q61">
        <f t="shared" ca="1" si="2"/>
        <v>4</v>
      </c>
      <c r="R61">
        <f t="shared" ca="1" si="2"/>
        <v>1</v>
      </c>
      <c r="S61">
        <f t="shared" ca="1" si="2"/>
        <v>3</v>
      </c>
    </row>
    <row r="62" spans="1:19" x14ac:dyDescent="0.3">
      <c r="A62" s="4">
        <v>1108</v>
      </c>
      <c r="B62" s="4">
        <v>11</v>
      </c>
      <c r="C62" s="4">
        <v>8</v>
      </c>
      <c r="D62" t="s">
        <v>187</v>
      </c>
      <c r="E62" t="s">
        <v>186</v>
      </c>
      <c r="F62"/>
      <c r="G62" s="33">
        <v>2</v>
      </c>
      <c r="H62">
        <v>7</v>
      </c>
      <c r="I62">
        <v>4</v>
      </c>
      <c r="J62" s="34">
        <v>7</v>
      </c>
      <c r="K62"/>
      <c r="L62"/>
      <c r="P62">
        <f t="shared" ca="1" si="2"/>
        <v>1</v>
      </c>
      <c r="Q62">
        <f t="shared" ca="1" si="2"/>
        <v>3</v>
      </c>
      <c r="R62">
        <f t="shared" ca="1" si="2"/>
        <v>1</v>
      </c>
      <c r="S62">
        <f t="shared" ca="1" si="2"/>
        <v>7</v>
      </c>
    </row>
    <row r="63" spans="1:19" x14ac:dyDescent="0.3">
      <c r="A63" s="4">
        <v>1109</v>
      </c>
      <c r="B63" s="4">
        <v>11</v>
      </c>
      <c r="C63" s="4">
        <v>9</v>
      </c>
      <c r="D63" t="s">
        <v>61</v>
      </c>
      <c r="E63" t="s">
        <v>188</v>
      </c>
      <c r="F63"/>
      <c r="G63" s="33">
        <v>4</v>
      </c>
      <c r="H63">
        <v>4</v>
      </c>
      <c r="I63">
        <v>6</v>
      </c>
      <c r="J63" s="34">
        <v>4</v>
      </c>
      <c r="K63"/>
      <c r="L63"/>
      <c r="P63">
        <f t="shared" ca="1" si="2"/>
        <v>6</v>
      </c>
      <c r="Q63">
        <f t="shared" ca="1" si="2"/>
        <v>3</v>
      </c>
      <c r="R63">
        <f t="shared" ca="1" si="2"/>
        <v>4</v>
      </c>
      <c r="S63">
        <f t="shared" ca="1" si="2"/>
        <v>3</v>
      </c>
    </row>
    <row r="64" spans="1:19" x14ac:dyDescent="0.3">
      <c r="A64" s="4">
        <v>1110</v>
      </c>
      <c r="B64" s="4">
        <v>11</v>
      </c>
      <c r="C64" s="4">
        <v>10</v>
      </c>
      <c r="D64" t="s">
        <v>51</v>
      </c>
      <c r="E64" t="s">
        <v>151</v>
      </c>
      <c r="F64"/>
      <c r="G64" s="33">
        <v>4</v>
      </c>
      <c r="H64">
        <v>7</v>
      </c>
      <c r="I64">
        <v>4</v>
      </c>
      <c r="J64" s="34">
        <v>5</v>
      </c>
      <c r="K64"/>
      <c r="L64"/>
      <c r="P64">
        <f t="shared" ca="1" si="2"/>
        <v>2</v>
      </c>
      <c r="Q64">
        <f t="shared" ca="1" si="2"/>
        <v>7</v>
      </c>
      <c r="R64">
        <f t="shared" ca="1" si="2"/>
        <v>4</v>
      </c>
      <c r="S64">
        <f t="shared" ca="1" si="2"/>
        <v>1</v>
      </c>
    </row>
    <row r="65" spans="1:19" x14ac:dyDescent="0.3">
      <c r="A65" s="4">
        <v>1201</v>
      </c>
      <c r="B65" s="4">
        <v>12</v>
      </c>
      <c r="C65" s="4">
        <v>1</v>
      </c>
      <c r="D65" t="s">
        <v>189</v>
      </c>
      <c r="E65" t="s">
        <v>122</v>
      </c>
      <c r="F65"/>
      <c r="G65" s="33">
        <v>2</v>
      </c>
      <c r="H65">
        <v>2</v>
      </c>
      <c r="I65">
        <v>1</v>
      </c>
      <c r="J65" s="34">
        <v>2</v>
      </c>
      <c r="K65"/>
      <c r="L65"/>
      <c r="P65">
        <f t="shared" ca="1" si="2"/>
        <v>3</v>
      </c>
      <c r="Q65">
        <f t="shared" ca="1" si="2"/>
        <v>6</v>
      </c>
      <c r="R65">
        <f t="shared" ca="1" si="2"/>
        <v>6</v>
      </c>
      <c r="S65">
        <f t="shared" ca="1" si="2"/>
        <v>2</v>
      </c>
    </row>
    <row r="66" spans="1:19" x14ac:dyDescent="0.3">
      <c r="A66" s="4">
        <v>1202</v>
      </c>
      <c r="B66" s="4">
        <v>12</v>
      </c>
      <c r="C66" s="4">
        <v>2</v>
      </c>
      <c r="D66" t="s">
        <v>31</v>
      </c>
      <c r="E66" t="s">
        <v>190</v>
      </c>
      <c r="F66"/>
      <c r="G66" s="33">
        <v>7</v>
      </c>
      <c r="H66">
        <v>4</v>
      </c>
      <c r="I66">
        <v>6</v>
      </c>
      <c r="J66" s="34">
        <v>4</v>
      </c>
      <c r="K66"/>
      <c r="L66"/>
      <c r="P66">
        <f t="shared" ca="1" si="2"/>
        <v>7</v>
      </c>
      <c r="Q66">
        <f t="shared" ca="1" si="2"/>
        <v>7</v>
      </c>
      <c r="R66">
        <f t="shared" ca="1" si="2"/>
        <v>4</v>
      </c>
      <c r="S66">
        <f t="shared" ca="1" si="2"/>
        <v>1</v>
      </c>
    </row>
    <row r="67" spans="1:19" x14ac:dyDescent="0.3">
      <c r="A67" s="4">
        <v>1203</v>
      </c>
      <c r="B67" s="4">
        <v>12</v>
      </c>
      <c r="C67" s="4">
        <v>3</v>
      </c>
      <c r="D67" t="s">
        <v>28</v>
      </c>
      <c r="E67" t="s">
        <v>191</v>
      </c>
      <c r="F67"/>
      <c r="G67" s="33">
        <v>2</v>
      </c>
      <c r="H67">
        <v>6</v>
      </c>
      <c r="I67">
        <v>3</v>
      </c>
      <c r="J67" s="34">
        <v>3</v>
      </c>
      <c r="K67"/>
      <c r="L67"/>
      <c r="P67">
        <f t="shared" ca="1" si="2"/>
        <v>6</v>
      </c>
      <c r="Q67">
        <f t="shared" ca="1" si="2"/>
        <v>4</v>
      </c>
      <c r="R67">
        <f t="shared" ca="1" si="2"/>
        <v>2</v>
      </c>
      <c r="S67">
        <f t="shared" ca="1" si="2"/>
        <v>6</v>
      </c>
    </row>
    <row r="68" spans="1:19" x14ac:dyDescent="0.3">
      <c r="A68" s="4">
        <v>1204</v>
      </c>
      <c r="B68" s="4">
        <v>12</v>
      </c>
      <c r="C68" s="4">
        <v>4</v>
      </c>
      <c r="D68" t="s">
        <v>29</v>
      </c>
      <c r="E68" t="s">
        <v>191</v>
      </c>
      <c r="F68"/>
      <c r="G68" s="33">
        <v>4</v>
      </c>
      <c r="H68">
        <v>4</v>
      </c>
      <c r="I68">
        <v>2</v>
      </c>
      <c r="J68" s="34">
        <v>5</v>
      </c>
      <c r="K68"/>
      <c r="L68"/>
      <c r="P68">
        <f t="shared" ca="1" si="2"/>
        <v>7</v>
      </c>
      <c r="Q68">
        <f t="shared" ca="1" si="2"/>
        <v>1</v>
      </c>
      <c r="R68">
        <f t="shared" ca="1" si="2"/>
        <v>2</v>
      </c>
      <c r="S68">
        <f t="shared" ca="1" si="2"/>
        <v>1</v>
      </c>
    </row>
    <row r="69" spans="1:19" x14ac:dyDescent="0.3">
      <c r="A69" s="4">
        <v>1205</v>
      </c>
      <c r="B69" s="4">
        <v>12</v>
      </c>
      <c r="C69" s="4">
        <v>5</v>
      </c>
      <c r="D69" t="s">
        <v>35</v>
      </c>
      <c r="E69" t="s">
        <v>192</v>
      </c>
      <c r="F69"/>
      <c r="G69" s="33">
        <v>7</v>
      </c>
      <c r="H69">
        <v>1</v>
      </c>
      <c r="I69">
        <v>2</v>
      </c>
      <c r="J69" s="34">
        <v>6</v>
      </c>
      <c r="K69"/>
      <c r="L69"/>
      <c r="P69">
        <f t="shared" ca="1" si="2"/>
        <v>7</v>
      </c>
      <c r="Q69">
        <f t="shared" ca="1" si="2"/>
        <v>1</v>
      </c>
      <c r="R69">
        <f t="shared" ca="1" si="2"/>
        <v>1</v>
      </c>
      <c r="S69">
        <f t="shared" ca="1" si="2"/>
        <v>6</v>
      </c>
    </row>
    <row r="70" spans="1:19" x14ac:dyDescent="0.3">
      <c r="A70" s="4">
        <v>1206</v>
      </c>
      <c r="B70" s="4">
        <v>12</v>
      </c>
      <c r="C70" s="4">
        <v>6</v>
      </c>
      <c r="D70" t="s">
        <v>37</v>
      </c>
      <c r="E70" t="s">
        <v>193</v>
      </c>
      <c r="F70"/>
      <c r="G70" s="33">
        <v>2</v>
      </c>
      <c r="H70">
        <v>4</v>
      </c>
      <c r="I70">
        <v>6</v>
      </c>
      <c r="J70" s="34">
        <v>4</v>
      </c>
      <c r="K70"/>
      <c r="L70"/>
      <c r="P70">
        <f t="shared" ca="1" si="2"/>
        <v>7</v>
      </c>
      <c r="Q70">
        <f t="shared" ca="1" si="2"/>
        <v>3</v>
      </c>
      <c r="R70">
        <f t="shared" ca="1" si="2"/>
        <v>4</v>
      </c>
      <c r="S70">
        <f t="shared" ca="1" si="2"/>
        <v>5</v>
      </c>
    </row>
    <row r="71" spans="1:19" x14ac:dyDescent="0.3">
      <c r="A71" s="4">
        <v>1207</v>
      </c>
      <c r="B71" s="4">
        <v>12</v>
      </c>
      <c r="C71" s="4">
        <v>7</v>
      </c>
      <c r="D71" t="s">
        <v>62</v>
      </c>
      <c r="E71" t="s">
        <v>194</v>
      </c>
      <c r="F71"/>
      <c r="G71" s="33">
        <v>5</v>
      </c>
      <c r="H71">
        <v>7</v>
      </c>
      <c r="I71">
        <v>1</v>
      </c>
      <c r="J71" s="34">
        <v>1</v>
      </c>
      <c r="K71"/>
      <c r="L71"/>
      <c r="P71">
        <f t="shared" ca="1" si="2"/>
        <v>2</v>
      </c>
      <c r="Q71">
        <f t="shared" ca="1" si="2"/>
        <v>5</v>
      </c>
      <c r="R71">
        <f t="shared" ca="1" si="2"/>
        <v>3</v>
      </c>
      <c r="S71">
        <f t="shared" ca="1" si="2"/>
        <v>6</v>
      </c>
    </row>
    <row r="72" spans="1:19" x14ac:dyDescent="0.3">
      <c r="A72" s="4">
        <v>1208</v>
      </c>
      <c r="B72" s="4">
        <v>12</v>
      </c>
      <c r="C72" s="4">
        <v>8</v>
      </c>
      <c r="D72" t="s">
        <v>39</v>
      </c>
      <c r="E72" t="s">
        <v>195</v>
      </c>
      <c r="F72"/>
      <c r="G72" s="33">
        <v>6</v>
      </c>
      <c r="H72">
        <v>7</v>
      </c>
      <c r="I72">
        <v>5</v>
      </c>
      <c r="J72" s="34">
        <v>4</v>
      </c>
      <c r="K72"/>
      <c r="L72"/>
      <c r="P72">
        <f t="shared" ca="1" si="2"/>
        <v>7</v>
      </c>
      <c r="Q72">
        <f t="shared" ca="1" si="2"/>
        <v>6</v>
      </c>
      <c r="R72">
        <f t="shared" ca="1" si="2"/>
        <v>6</v>
      </c>
      <c r="S72">
        <f t="shared" ca="1" si="2"/>
        <v>2</v>
      </c>
    </row>
    <row r="73" spans="1:19" x14ac:dyDescent="0.3">
      <c r="A73" s="4">
        <v>1209</v>
      </c>
      <c r="B73" s="4">
        <v>12</v>
      </c>
      <c r="C73" s="4">
        <v>9</v>
      </c>
      <c r="D73" t="s">
        <v>38</v>
      </c>
      <c r="E73" t="s">
        <v>146</v>
      </c>
      <c r="F73"/>
      <c r="G73" s="33">
        <v>3</v>
      </c>
      <c r="H73">
        <v>4</v>
      </c>
      <c r="I73">
        <v>1</v>
      </c>
      <c r="J73" s="34">
        <v>6</v>
      </c>
      <c r="K73"/>
      <c r="L73"/>
      <c r="P73">
        <f t="shared" ca="1" si="2"/>
        <v>3</v>
      </c>
      <c r="Q73">
        <f t="shared" ca="1" si="2"/>
        <v>1</v>
      </c>
      <c r="R73">
        <f t="shared" ca="1" si="2"/>
        <v>2</v>
      </c>
      <c r="S73">
        <f t="shared" ca="1" si="2"/>
        <v>2</v>
      </c>
    </row>
    <row r="74" spans="1:19" x14ac:dyDescent="0.3">
      <c r="A74" s="4">
        <v>1210</v>
      </c>
      <c r="B74" s="4">
        <v>12</v>
      </c>
      <c r="C74" s="4">
        <v>10</v>
      </c>
      <c r="D74" t="s">
        <v>197</v>
      </c>
      <c r="E74" t="s">
        <v>196</v>
      </c>
      <c r="F74"/>
      <c r="G74" s="33">
        <v>6</v>
      </c>
      <c r="H74">
        <v>1</v>
      </c>
      <c r="I74">
        <v>7</v>
      </c>
      <c r="J74" s="34">
        <v>7</v>
      </c>
      <c r="K74"/>
      <c r="L74"/>
      <c r="P74">
        <f t="shared" ca="1" si="2"/>
        <v>3</v>
      </c>
      <c r="Q74">
        <f t="shared" ca="1" si="2"/>
        <v>2</v>
      </c>
      <c r="R74">
        <f t="shared" ca="1" si="2"/>
        <v>3</v>
      </c>
      <c r="S74">
        <f t="shared" ca="1" si="2"/>
        <v>2</v>
      </c>
    </row>
    <row r="75" spans="1:19" x14ac:dyDescent="0.3">
      <c r="A75" s="4">
        <v>1211</v>
      </c>
      <c r="B75" s="4">
        <v>12</v>
      </c>
      <c r="C75" s="4">
        <v>11</v>
      </c>
      <c r="D75" t="s">
        <v>70</v>
      </c>
      <c r="E75" t="s">
        <v>198</v>
      </c>
      <c r="F75"/>
      <c r="G75" s="33">
        <v>3</v>
      </c>
      <c r="H75">
        <v>3</v>
      </c>
      <c r="I75">
        <v>5</v>
      </c>
      <c r="J75" s="34">
        <v>1</v>
      </c>
      <c r="K75"/>
      <c r="L75"/>
      <c r="P75">
        <f t="shared" ca="1" si="2"/>
        <v>7</v>
      </c>
      <c r="Q75">
        <f t="shared" ca="1" si="2"/>
        <v>1</v>
      </c>
      <c r="R75">
        <f t="shared" ca="1" si="2"/>
        <v>3</v>
      </c>
      <c r="S75">
        <f t="shared" ca="1" si="2"/>
        <v>7</v>
      </c>
    </row>
    <row r="76" spans="1:19" x14ac:dyDescent="0.3">
      <c r="A76" s="4">
        <v>1301</v>
      </c>
      <c r="B76" s="4">
        <v>13</v>
      </c>
      <c r="C76" s="4">
        <v>1</v>
      </c>
      <c r="D76" t="s">
        <v>43</v>
      </c>
      <c r="E76" t="s">
        <v>199</v>
      </c>
      <c r="F76"/>
      <c r="G76" s="33">
        <v>4</v>
      </c>
      <c r="H76">
        <v>4</v>
      </c>
      <c r="I76">
        <v>1</v>
      </c>
      <c r="J76" s="34">
        <v>7</v>
      </c>
      <c r="K76"/>
      <c r="L76"/>
      <c r="P76">
        <f t="shared" ref="P76:S107" ca="1" si="3">RANDBETWEEN(1,7)</f>
        <v>2</v>
      </c>
      <c r="Q76">
        <f t="shared" ca="1" si="3"/>
        <v>2</v>
      </c>
      <c r="R76">
        <f t="shared" ca="1" si="3"/>
        <v>4</v>
      </c>
      <c r="S76">
        <f t="shared" ca="1" si="3"/>
        <v>1</v>
      </c>
    </row>
    <row r="77" spans="1:19" x14ac:dyDescent="0.3">
      <c r="A77" s="4">
        <v>1302</v>
      </c>
      <c r="B77" s="4">
        <v>13</v>
      </c>
      <c r="C77" s="4">
        <v>2</v>
      </c>
      <c r="D77" t="s">
        <v>26</v>
      </c>
      <c r="E77" t="s">
        <v>200</v>
      </c>
      <c r="F77"/>
      <c r="G77" s="33">
        <v>6</v>
      </c>
      <c r="H77">
        <v>6</v>
      </c>
      <c r="I77">
        <v>6</v>
      </c>
      <c r="J77" s="34">
        <v>7</v>
      </c>
      <c r="K77"/>
      <c r="L77"/>
      <c r="P77">
        <f t="shared" ca="1" si="3"/>
        <v>1</v>
      </c>
      <c r="Q77">
        <f t="shared" ca="1" si="3"/>
        <v>6</v>
      </c>
      <c r="R77">
        <f t="shared" ca="1" si="3"/>
        <v>1</v>
      </c>
      <c r="S77">
        <f t="shared" ca="1" si="3"/>
        <v>4</v>
      </c>
    </row>
    <row r="78" spans="1:19" x14ac:dyDescent="0.3">
      <c r="A78" s="4">
        <v>1303</v>
      </c>
      <c r="B78" s="4">
        <v>13</v>
      </c>
      <c r="C78" s="4">
        <v>3</v>
      </c>
      <c r="D78" t="s">
        <v>37</v>
      </c>
      <c r="E78" t="s">
        <v>201</v>
      </c>
      <c r="F78"/>
      <c r="G78" s="33">
        <v>1</v>
      </c>
      <c r="H78">
        <v>7</v>
      </c>
      <c r="I78">
        <v>6</v>
      </c>
      <c r="J78" s="34">
        <v>6</v>
      </c>
      <c r="K78"/>
      <c r="L78"/>
      <c r="P78">
        <f t="shared" ca="1" si="3"/>
        <v>7</v>
      </c>
      <c r="Q78">
        <f t="shared" ca="1" si="3"/>
        <v>5</v>
      </c>
      <c r="R78">
        <f t="shared" ca="1" si="3"/>
        <v>1</v>
      </c>
      <c r="S78">
        <f t="shared" ca="1" si="3"/>
        <v>7</v>
      </c>
    </row>
    <row r="79" spans="1:19" x14ac:dyDescent="0.3">
      <c r="A79" s="4">
        <v>1304</v>
      </c>
      <c r="B79" s="4">
        <v>13</v>
      </c>
      <c r="C79" s="4">
        <v>4</v>
      </c>
      <c r="D79" t="s">
        <v>30</v>
      </c>
      <c r="E79" t="s">
        <v>202</v>
      </c>
      <c r="F79"/>
      <c r="G79" s="33">
        <v>1</v>
      </c>
      <c r="H79">
        <v>7</v>
      </c>
      <c r="I79">
        <v>2</v>
      </c>
      <c r="J79" s="34">
        <v>5</v>
      </c>
      <c r="K79"/>
      <c r="L79"/>
      <c r="P79">
        <f t="shared" ca="1" si="3"/>
        <v>1</v>
      </c>
      <c r="Q79">
        <f t="shared" ca="1" si="3"/>
        <v>2</v>
      </c>
      <c r="R79">
        <f t="shared" ca="1" si="3"/>
        <v>6</v>
      </c>
      <c r="S79">
        <f t="shared" ca="1" si="3"/>
        <v>7</v>
      </c>
    </row>
    <row r="80" spans="1:19" x14ac:dyDescent="0.3">
      <c r="A80" s="4">
        <v>1305</v>
      </c>
      <c r="B80" s="4">
        <v>13</v>
      </c>
      <c r="C80" s="4">
        <v>5</v>
      </c>
      <c r="D80" t="s">
        <v>55</v>
      </c>
      <c r="E80" t="s">
        <v>203</v>
      </c>
      <c r="F80"/>
      <c r="G80" s="33">
        <v>7</v>
      </c>
      <c r="H80">
        <v>6</v>
      </c>
      <c r="I80">
        <v>6</v>
      </c>
      <c r="J80" s="34">
        <v>7</v>
      </c>
      <c r="K80"/>
      <c r="L80"/>
      <c r="P80">
        <f t="shared" ca="1" si="3"/>
        <v>3</v>
      </c>
      <c r="Q80">
        <f t="shared" ca="1" si="3"/>
        <v>4</v>
      </c>
      <c r="R80">
        <f t="shared" ca="1" si="3"/>
        <v>7</v>
      </c>
      <c r="S80">
        <f t="shared" ca="1" si="3"/>
        <v>3</v>
      </c>
    </row>
    <row r="81" spans="1:19" x14ac:dyDescent="0.3">
      <c r="A81" s="4">
        <v>1306</v>
      </c>
      <c r="B81" s="4">
        <v>13</v>
      </c>
      <c r="C81" s="4">
        <v>6</v>
      </c>
      <c r="D81" t="s">
        <v>34</v>
      </c>
      <c r="E81" t="s">
        <v>204</v>
      </c>
      <c r="F81"/>
      <c r="G81" s="33">
        <v>6</v>
      </c>
      <c r="H81">
        <v>4</v>
      </c>
      <c r="I81">
        <v>3</v>
      </c>
      <c r="J81" s="34">
        <v>2</v>
      </c>
      <c r="K81"/>
      <c r="L81"/>
      <c r="P81">
        <f t="shared" ca="1" si="3"/>
        <v>6</v>
      </c>
      <c r="Q81">
        <f t="shared" ca="1" si="3"/>
        <v>7</v>
      </c>
      <c r="R81">
        <f t="shared" ca="1" si="3"/>
        <v>6</v>
      </c>
      <c r="S81">
        <f t="shared" ca="1" si="3"/>
        <v>7</v>
      </c>
    </row>
    <row r="82" spans="1:19" x14ac:dyDescent="0.3">
      <c r="A82" s="4">
        <v>1307</v>
      </c>
      <c r="B82" s="4">
        <v>13</v>
      </c>
      <c r="C82" s="4">
        <v>7</v>
      </c>
      <c r="D82" t="s">
        <v>206</v>
      </c>
      <c r="E82" t="s">
        <v>205</v>
      </c>
      <c r="F82"/>
      <c r="G82" s="33">
        <v>1</v>
      </c>
      <c r="H82">
        <v>6</v>
      </c>
      <c r="I82">
        <v>6</v>
      </c>
      <c r="J82" s="34">
        <v>7</v>
      </c>
      <c r="K82"/>
      <c r="L82"/>
      <c r="P82">
        <f t="shared" ca="1" si="3"/>
        <v>7</v>
      </c>
      <c r="Q82">
        <f t="shared" ca="1" si="3"/>
        <v>7</v>
      </c>
      <c r="R82">
        <f t="shared" ca="1" si="3"/>
        <v>1</v>
      </c>
      <c r="S82">
        <f t="shared" ca="1" si="3"/>
        <v>1</v>
      </c>
    </row>
    <row r="83" spans="1:19" x14ac:dyDescent="0.3">
      <c r="A83" s="4">
        <v>1308</v>
      </c>
      <c r="B83" s="4">
        <v>13</v>
      </c>
      <c r="C83" s="4">
        <v>8</v>
      </c>
      <c r="D83" t="s">
        <v>208</v>
      </c>
      <c r="E83" t="s">
        <v>207</v>
      </c>
      <c r="F83"/>
      <c r="G83" s="33">
        <v>5</v>
      </c>
      <c r="H83">
        <v>4</v>
      </c>
      <c r="I83">
        <v>6</v>
      </c>
      <c r="J83" s="34">
        <v>3</v>
      </c>
      <c r="K83"/>
      <c r="L83"/>
      <c r="P83">
        <f t="shared" ca="1" si="3"/>
        <v>4</v>
      </c>
      <c r="Q83">
        <f t="shared" ca="1" si="3"/>
        <v>4</v>
      </c>
      <c r="R83">
        <f t="shared" ca="1" si="3"/>
        <v>6</v>
      </c>
      <c r="S83">
        <f t="shared" ca="1" si="3"/>
        <v>3</v>
      </c>
    </row>
    <row r="84" spans="1:19" x14ac:dyDescent="0.3">
      <c r="A84" s="4">
        <v>1309</v>
      </c>
      <c r="B84" s="4">
        <v>13</v>
      </c>
      <c r="C84" s="4">
        <v>9</v>
      </c>
      <c r="D84" t="s">
        <v>25</v>
      </c>
      <c r="E84" t="s">
        <v>209</v>
      </c>
      <c r="F84"/>
      <c r="G84" s="33">
        <v>6</v>
      </c>
      <c r="H84">
        <v>3</v>
      </c>
      <c r="I84">
        <v>2</v>
      </c>
      <c r="J84" s="34">
        <v>7</v>
      </c>
      <c r="K84"/>
      <c r="L84"/>
      <c r="P84">
        <f t="shared" ca="1" si="3"/>
        <v>2</v>
      </c>
      <c r="Q84">
        <f t="shared" ca="1" si="3"/>
        <v>4</v>
      </c>
      <c r="R84">
        <f t="shared" ca="1" si="3"/>
        <v>1</v>
      </c>
      <c r="S84">
        <f t="shared" ca="1" si="3"/>
        <v>5</v>
      </c>
    </row>
    <row r="85" spans="1:19" x14ac:dyDescent="0.3">
      <c r="A85" s="4">
        <v>1310</v>
      </c>
      <c r="B85" s="4">
        <v>13</v>
      </c>
      <c r="C85" s="4">
        <v>10</v>
      </c>
      <c r="D85" t="s">
        <v>45</v>
      </c>
      <c r="E85" t="s">
        <v>210</v>
      </c>
      <c r="F85"/>
      <c r="G85" s="33">
        <v>6</v>
      </c>
      <c r="H85">
        <v>4</v>
      </c>
      <c r="I85">
        <v>7</v>
      </c>
      <c r="J85" s="34">
        <v>4</v>
      </c>
      <c r="K85"/>
      <c r="L85"/>
      <c r="P85">
        <f t="shared" ca="1" si="3"/>
        <v>6</v>
      </c>
      <c r="Q85">
        <f t="shared" ca="1" si="3"/>
        <v>3</v>
      </c>
      <c r="R85">
        <f t="shared" ca="1" si="3"/>
        <v>4</v>
      </c>
      <c r="S85">
        <f t="shared" ca="1" si="3"/>
        <v>2</v>
      </c>
    </row>
    <row r="86" spans="1:19" x14ac:dyDescent="0.3">
      <c r="A86" s="4">
        <v>1401</v>
      </c>
      <c r="B86" s="4">
        <v>14</v>
      </c>
      <c r="C86" s="4">
        <v>1</v>
      </c>
      <c r="D86" t="s">
        <v>60</v>
      </c>
      <c r="E86" t="s">
        <v>211</v>
      </c>
      <c r="F86"/>
      <c r="G86" s="33">
        <v>4</v>
      </c>
      <c r="H86">
        <v>5</v>
      </c>
      <c r="I86">
        <v>6</v>
      </c>
      <c r="J86" s="34">
        <v>1</v>
      </c>
      <c r="K86"/>
      <c r="L86"/>
      <c r="P86">
        <f t="shared" ca="1" si="3"/>
        <v>2</v>
      </c>
      <c r="Q86">
        <f t="shared" ca="1" si="3"/>
        <v>4</v>
      </c>
      <c r="R86">
        <f t="shared" ca="1" si="3"/>
        <v>7</v>
      </c>
      <c r="S86">
        <f t="shared" ca="1" si="3"/>
        <v>3</v>
      </c>
    </row>
    <row r="87" spans="1:19" x14ac:dyDescent="0.3">
      <c r="A87" s="4">
        <v>1402</v>
      </c>
      <c r="B87" s="4">
        <v>14</v>
      </c>
      <c r="C87" s="4">
        <v>2</v>
      </c>
      <c r="D87" t="s">
        <v>44</v>
      </c>
      <c r="E87" t="s">
        <v>212</v>
      </c>
      <c r="F87"/>
      <c r="G87" s="33">
        <v>2</v>
      </c>
      <c r="H87">
        <v>3</v>
      </c>
      <c r="I87">
        <v>3</v>
      </c>
      <c r="J87" s="34">
        <v>4</v>
      </c>
      <c r="K87"/>
      <c r="L87"/>
      <c r="P87">
        <f t="shared" ca="1" si="3"/>
        <v>1</v>
      </c>
      <c r="Q87">
        <f t="shared" ca="1" si="3"/>
        <v>6</v>
      </c>
      <c r="R87">
        <f t="shared" ca="1" si="3"/>
        <v>5</v>
      </c>
      <c r="S87">
        <f t="shared" ca="1" si="3"/>
        <v>2</v>
      </c>
    </row>
    <row r="88" spans="1:19" x14ac:dyDescent="0.3">
      <c r="A88" s="4">
        <v>1403</v>
      </c>
      <c r="B88" s="4">
        <v>14</v>
      </c>
      <c r="C88" s="4">
        <v>3</v>
      </c>
      <c r="D88" t="s">
        <v>54</v>
      </c>
      <c r="E88" t="s">
        <v>213</v>
      </c>
      <c r="F88"/>
      <c r="G88" s="33">
        <v>7</v>
      </c>
      <c r="H88">
        <v>7</v>
      </c>
      <c r="I88">
        <v>3</v>
      </c>
      <c r="J88" s="34">
        <v>3</v>
      </c>
      <c r="K88"/>
      <c r="L88"/>
      <c r="P88">
        <f t="shared" ca="1" si="3"/>
        <v>3</v>
      </c>
      <c r="Q88">
        <f t="shared" ca="1" si="3"/>
        <v>3</v>
      </c>
      <c r="R88">
        <f t="shared" ca="1" si="3"/>
        <v>7</v>
      </c>
      <c r="S88">
        <f t="shared" ca="1" si="3"/>
        <v>6</v>
      </c>
    </row>
    <row r="89" spans="1:19" x14ac:dyDescent="0.3">
      <c r="A89" s="4">
        <v>1404</v>
      </c>
      <c r="B89" s="4">
        <v>14</v>
      </c>
      <c r="C89" s="4">
        <v>4</v>
      </c>
      <c r="D89" t="s">
        <v>215</v>
      </c>
      <c r="E89" t="s">
        <v>214</v>
      </c>
      <c r="F89"/>
      <c r="G89" s="33">
        <v>1</v>
      </c>
      <c r="H89">
        <v>4</v>
      </c>
      <c r="I89">
        <v>7</v>
      </c>
      <c r="J89" s="34">
        <v>5</v>
      </c>
      <c r="K89"/>
      <c r="L89"/>
      <c r="P89">
        <f t="shared" ca="1" si="3"/>
        <v>6</v>
      </c>
      <c r="Q89">
        <f t="shared" ca="1" si="3"/>
        <v>3</v>
      </c>
      <c r="R89">
        <f t="shared" ca="1" si="3"/>
        <v>6</v>
      </c>
      <c r="S89">
        <f t="shared" ca="1" si="3"/>
        <v>6</v>
      </c>
    </row>
    <row r="90" spans="1:19" x14ac:dyDescent="0.3">
      <c r="A90" s="4">
        <v>1405</v>
      </c>
      <c r="B90" s="4">
        <v>14</v>
      </c>
      <c r="C90" s="4">
        <v>5</v>
      </c>
      <c r="D90" t="s">
        <v>25</v>
      </c>
      <c r="E90" t="s">
        <v>216</v>
      </c>
      <c r="F90"/>
      <c r="G90" s="33">
        <v>6</v>
      </c>
      <c r="H90">
        <v>6</v>
      </c>
      <c r="I90">
        <v>3</v>
      </c>
      <c r="J90" s="34">
        <v>6</v>
      </c>
      <c r="K90"/>
      <c r="L90"/>
      <c r="P90">
        <f t="shared" ca="1" si="3"/>
        <v>3</v>
      </c>
      <c r="Q90">
        <f t="shared" ca="1" si="3"/>
        <v>3</v>
      </c>
      <c r="R90">
        <f t="shared" ca="1" si="3"/>
        <v>7</v>
      </c>
      <c r="S90">
        <f t="shared" ca="1" si="3"/>
        <v>5</v>
      </c>
    </row>
    <row r="91" spans="1:19" x14ac:dyDescent="0.3">
      <c r="A91" s="4">
        <v>1406</v>
      </c>
      <c r="B91" s="4">
        <v>14</v>
      </c>
      <c r="C91" s="4">
        <v>6</v>
      </c>
      <c r="D91" t="s">
        <v>218</v>
      </c>
      <c r="E91" t="s">
        <v>217</v>
      </c>
      <c r="F91"/>
      <c r="G91" s="33">
        <v>1</v>
      </c>
      <c r="H91">
        <v>2</v>
      </c>
      <c r="I91">
        <v>2</v>
      </c>
      <c r="J91" s="34">
        <v>4</v>
      </c>
      <c r="K91"/>
      <c r="L91"/>
      <c r="P91">
        <f t="shared" ca="1" si="3"/>
        <v>4</v>
      </c>
      <c r="Q91">
        <f t="shared" ca="1" si="3"/>
        <v>3</v>
      </c>
      <c r="R91">
        <f t="shared" ca="1" si="3"/>
        <v>6</v>
      </c>
      <c r="S91">
        <f t="shared" ca="1" si="3"/>
        <v>5</v>
      </c>
    </row>
    <row r="92" spans="1:19" x14ac:dyDescent="0.3">
      <c r="A92" s="4">
        <v>1407</v>
      </c>
      <c r="B92" s="4">
        <v>14</v>
      </c>
      <c r="C92" s="4">
        <v>7</v>
      </c>
      <c r="D92" t="s">
        <v>219</v>
      </c>
      <c r="E92" t="s">
        <v>193</v>
      </c>
      <c r="F92"/>
      <c r="G92" s="33">
        <v>6</v>
      </c>
      <c r="H92">
        <v>3</v>
      </c>
      <c r="I92">
        <v>1</v>
      </c>
      <c r="J92" s="34">
        <v>1</v>
      </c>
      <c r="K92"/>
      <c r="L92"/>
      <c r="P92">
        <f t="shared" ca="1" si="3"/>
        <v>6</v>
      </c>
      <c r="Q92">
        <f t="shared" ca="1" si="3"/>
        <v>1</v>
      </c>
      <c r="R92">
        <f t="shared" ca="1" si="3"/>
        <v>3</v>
      </c>
      <c r="S92">
        <f t="shared" ca="1" si="3"/>
        <v>1</v>
      </c>
    </row>
    <row r="93" spans="1:19" x14ac:dyDescent="0.3">
      <c r="A93" s="4">
        <v>1408</v>
      </c>
      <c r="B93" s="4">
        <v>14</v>
      </c>
      <c r="C93" s="4">
        <v>8</v>
      </c>
      <c r="D93" t="s">
        <v>37</v>
      </c>
      <c r="E93" t="s">
        <v>220</v>
      </c>
      <c r="F93"/>
      <c r="G93" s="33">
        <v>4</v>
      </c>
      <c r="H93">
        <v>2</v>
      </c>
      <c r="I93">
        <v>7</v>
      </c>
      <c r="J93" s="34">
        <v>1</v>
      </c>
      <c r="K93"/>
      <c r="L93"/>
      <c r="P93">
        <f t="shared" ca="1" si="3"/>
        <v>3</v>
      </c>
      <c r="Q93">
        <f t="shared" ca="1" si="3"/>
        <v>1</v>
      </c>
      <c r="R93">
        <f t="shared" ca="1" si="3"/>
        <v>1</v>
      </c>
      <c r="S93">
        <f t="shared" ca="1" si="3"/>
        <v>1</v>
      </c>
    </row>
    <row r="94" spans="1:19" x14ac:dyDescent="0.3">
      <c r="A94" s="4">
        <v>1409</v>
      </c>
      <c r="B94" s="4">
        <v>14</v>
      </c>
      <c r="C94" s="4">
        <v>9</v>
      </c>
      <c r="D94" t="s">
        <v>52</v>
      </c>
      <c r="E94" t="s">
        <v>221</v>
      </c>
      <c r="F94"/>
      <c r="G94" s="33">
        <v>4</v>
      </c>
      <c r="H94">
        <v>6</v>
      </c>
      <c r="I94">
        <v>1</v>
      </c>
      <c r="J94" s="34">
        <v>1</v>
      </c>
      <c r="K94"/>
      <c r="L94"/>
      <c r="P94">
        <f t="shared" ca="1" si="3"/>
        <v>4</v>
      </c>
      <c r="Q94">
        <f t="shared" ca="1" si="3"/>
        <v>7</v>
      </c>
      <c r="R94">
        <f t="shared" ca="1" si="3"/>
        <v>4</v>
      </c>
      <c r="S94">
        <f t="shared" ca="1" si="3"/>
        <v>3</v>
      </c>
    </row>
    <row r="95" spans="1:19" x14ac:dyDescent="0.3">
      <c r="A95" s="4">
        <v>1501</v>
      </c>
      <c r="B95" s="4">
        <v>15</v>
      </c>
      <c r="C95" s="4">
        <v>1</v>
      </c>
      <c r="D95" t="s">
        <v>53</v>
      </c>
      <c r="E95" t="s">
        <v>195</v>
      </c>
      <c r="F95"/>
      <c r="G95" s="33">
        <v>2</v>
      </c>
      <c r="H95">
        <v>4</v>
      </c>
      <c r="I95">
        <v>3</v>
      </c>
      <c r="J95" s="34">
        <v>4</v>
      </c>
      <c r="K95"/>
      <c r="L95"/>
      <c r="P95">
        <f t="shared" ca="1" si="3"/>
        <v>6</v>
      </c>
      <c r="Q95">
        <f t="shared" ca="1" si="3"/>
        <v>7</v>
      </c>
      <c r="R95">
        <f t="shared" ca="1" si="3"/>
        <v>5</v>
      </c>
      <c r="S95">
        <f t="shared" ca="1" si="3"/>
        <v>2</v>
      </c>
    </row>
    <row r="96" spans="1:19" x14ac:dyDescent="0.3">
      <c r="A96" s="4">
        <v>1502</v>
      </c>
      <c r="B96" s="4">
        <v>15</v>
      </c>
      <c r="C96" s="4">
        <v>2</v>
      </c>
      <c r="D96" t="s">
        <v>36</v>
      </c>
      <c r="E96" t="s">
        <v>161</v>
      </c>
      <c r="F96"/>
      <c r="G96" s="33">
        <v>1</v>
      </c>
      <c r="H96">
        <v>4</v>
      </c>
      <c r="I96">
        <v>6</v>
      </c>
      <c r="J96" s="34">
        <v>1</v>
      </c>
      <c r="K96"/>
      <c r="L96"/>
      <c r="P96">
        <f t="shared" ca="1" si="3"/>
        <v>5</v>
      </c>
      <c r="Q96">
        <f t="shared" ca="1" si="3"/>
        <v>2</v>
      </c>
      <c r="R96">
        <f t="shared" ca="1" si="3"/>
        <v>2</v>
      </c>
      <c r="S96">
        <f t="shared" ca="1" si="3"/>
        <v>3</v>
      </c>
    </row>
    <row r="97" spans="1:19" x14ac:dyDescent="0.3">
      <c r="A97" s="4">
        <v>1503</v>
      </c>
      <c r="B97" s="4">
        <v>15</v>
      </c>
      <c r="C97" s="4">
        <v>3</v>
      </c>
      <c r="D97" t="s">
        <v>223</v>
      </c>
      <c r="E97" t="s">
        <v>222</v>
      </c>
      <c r="F97"/>
      <c r="G97" s="33">
        <v>7</v>
      </c>
      <c r="H97">
        <v>1</v>
      </c>
      <c r="I97">
        <v>3</v>
      </c>
      <c r="J97" s="34">
        <v>2</v>
      </c>
      <c r="K97"/>
      <c r="L97"/>
      <c r="P97">
        <f t="shared" ca="1" si="3"/>
        <v>5</v>
      </c>
      <c r="Q97">
        <f t="shared" ca="1" si="3"/>
        <v>5</v>
      </c>
      <c r="R97">
        <f t="shared" ca="1" si="3"/>
        <v>4</v>
      </c>
      <c r="S97">
        <f t="shared" ca="1" si="3"/>
        <v>6</v>
      </c>
    </row>
    <row r="98" spans="1:19" x14ac:dyDescent="0.3">
      <c r="A98" s="4">
        <v>1504</v>
      </c>
      <c r="B98" s="4">
        <v>15</v>
      </c>
      <c r="C98" s="4">
        <v>4</v>
      </c>
      <c r="D98" t="s">
        <v>56</v>
      </c>
      <c r="E98" t="s">
        <v>224</v>
      </c>
      <c r="F98"/>
      <c r="G98" s="33">
        <v>2</v>
      </c>
      <c r="H98">
        <v>3</v>
      </c>
      <c r="I98">
        <v>4</v>
      </c>
      <c r="J98" s="34">
        <v>1</v>
      </c>
      <c r="K98"/>
      <c r="L98"/>
      <c r="P98">
        <f t="shared" ca="1" si="3"/>
        <v>6</v>
      </c>
      <c r="Q98">
        <f t="shared" ca="1" si="3"/>
        <v>4</v>
      </c>
      <c r="R98">
        <f t="shared" ca="1" si="3"/>
        <v>2</v>
      </c>
      <c r="S98">
        <f t="shared" ca="1" si="3"/>
        <v>1</v>
      </c>
    </row>
    <row r="99" spans="1:19" x14ac:dyDescent="0.3">
      <c r="A99" s="4">
        <v>1505</v>
      </c>
      <c r="B99" s="4">
        <v>15</v>
      </c>
      <c r="C99" s="4">
        <v>5</v>
      </c>
      <c r="D99" t="s">
        <v>61</v>
      </c>
      <c r="E99" t="s">
        <v>201</v>
      </c>
      <c r="F99"/>
      <c r="G99" s="33">
        <v>6</v>
      </c>
      <c r="H99">
        <v>4</v>
      </c>
      <c r="I99">
        <v>1</v>
      </c>
      <c r="J99" s="34">
        <v>1</v>
      </c>
      <c r="K99"/>
      <c r="L99"/>
      <c r="P99">
        <f t="shared" ca="1" si="3"/>
        <v>4</v>
      </c>
      <c r="Q99">
        <f t="shared" ca="1" si="3"/>
        <v>7</v>
      </c>
      <c r="R99">
        <f t="shared" ca="1" si="3"/>
        <v>3</v>
      </c>
      <c r="S99">
        <f t="shared" ca="1" si="3"/>
        <v>4</v>
      </c>
    </row>
    <row r="100" spans="1:19" x14ac:dyDescent="0.3">
      <c r="A100" s="4">
        <v>1506</v>
      </c>
      <c r="B100" s="4">
        <v>15</v>
      </c>
      <c r="C100" s="4">
        <v>6</v>
      </c>
      <c r="D100" t="s">
        <v>63</v>
      </c>
      <c r="E100" t="s">
        <v>178</v>
      </c>
      <c r="F100"/>
      <c r="G100" s="33">
        <v>7</v>
      </c>
      <c r="H100">
        <v>4</v>
      </c>
      <c r="I100">
        <v>1</v>
      </c>
      <c r="J100" s="34">
        <v>2</v>
      </c>
      <c r="K100"/>
      <c r="L100"/>
      <c r="P100">
        <f t="shared" ca="1" si="3"/>
        <v>1</v>
      </c>
      <c r="Q100">
        <f t="shared" ca="1" si="3"/>
        <v>3</v>
      </c>
      <c r="R100">
        <f t="shared" ca="1" si="3"/>
        <v>4</v>
      </c>
      <c r="S100">
        <f t="shared" ca="1" si="3"/>
        <v>1</v>
      </c>
    </row>
    <row r="101" spans="1:19" x14ac:dyDescent="0.3">
      <c r="A101" s="4">
        <v>1507</v>
      </c>
      <c r="B101" s="4">
        <v>15</v>
      </c>
      <c r="C101" s="4">
        <v>7</v>
      </c>
      <c r="D101" t="s">
        <v>226</v>
      </c>
      <c r="E101" t="s">
        <v>225</v>
      </c>
      <c r="F101"/>
      <c r="G101" s="33">
        <v>1</v>
      </c>
      <c r="H101">
        <v>2</v>
      </c>
      <c r="I101">
        <v>5</v>
      </c>
      <c r="J101" s="34">
        <v>5</v>
      </c>
      <c r="K101"/>
      <c r="L101"/>
      <c r="P101">
        <f t="shared" ca="1" si="3"/>
        <v>3</v>
      </c>
      <c r="Q101">
        <f t="shared" ca="1" si="3"/>
        <v>2</v>
      </c>
      <c r="R101">
        <f t="shared" ca="1" si="3"/>
        <v>6</v>
      </c>
      <c r="S101">
        <f t="shared" ca="1" si="3"/>
        <v>5</v>
      </c>
    </row>
    <row r="102" spans="1:19" x14ac:dyDescent="0.3">
      <c r="A102" s="4">
        <v>1508</v>
      </c>
      <c r="B102" s="4">
        <v>15</v>
      </c>
      <c r="C102" s="4">
        <v>8</v>
      </c>
      <c r="D102" t="s">
        <v>228</v>
      </c>
      <c r="E102" t="s">
        <v>227</v>
      </c>
      <c r="F102"/>
      <c r="G102" s="33">
        <v>1</v>
      </c>
      <c r="H102">
        <v>6</v>
      </c>
      <c r="I102">
        <v>7</v>
      </c>
      <c r="J102" s="34">
        <v>1</v>
      </c>
      <c r="K102"/>
      <c r="L102"/>
      <c r="P102">
        <f t="shared" ca="1" si="3"/>
        <v>7</v>
      </c>
      <c r="Q102">
        <f t="shared" ca="1" si="3"/>
        <v>5</v>
      </c>
      <c r="R102">
        <f t="shared" ca="1" si="3"/>
        <v>5</v>
      </c>
      <c r="S102">
        <f t="shared" ca="1" si="3"/>
        <v>2</v>
      </c>
    </row>
    <row r="103" spans="1:19" x14ac:dyDescent="0.3">
      <c r="A103" s="4">
        <v>1509</v>
      </c>
      <c r="B103" s="4">
        <v>15</v>
      </c>
      <c r="C103" s="4">
        <v>9</v>
      </c>
      <c r="D103" t="s">
        <v>60</v>
      </c>
      <c r="E103" t="s">
        <v>229</v>
      </c>
      <c r="F103"/>
      <c r="G103" s="33">
        <v>3</v>
      </c>
      <c r="H103">
        <v>4</v>
      </c>
      <c r="I103">
        <v>3</v>
      </c>
      <c r="J103" s="34">
        <v>3</v>
      </c>
      <c r="K103"/>
      <c r="L103"/>
      <c r="P103">
        <f t="shared" ca="1" si="3"/>
        <v>7</v>
      </c>
      <c r="Q103">
        <f t="shared" ca="1" si="3"/>
        <v>2</v>
      </c>
      <c r="R103">
        <f t="shared" ca="1" si="3"/>
        <v>6</v>
      </c>
      <c r="S103">
        <f t="shared" ca="1" si="3"/>
        <v>1</v>
      </c>
    </row>
    <row r="104" spans="1:19" x14ac:dyDescent="0.3">
      <c r="A104" s="4">
        <v>1601</v>
      </c>
      <c r="B104" s="4">
        <v>16</v>
      </c>
      <c r="C104" s="4">
        <v>1</v>
      </c>
      <c r="D104" t="s">
        <v>230</v>
      </c>
      <c r="E104" t="s">
        <v>194</v>
      </c>
      <c r="F104"/>
      <c r="G104" s="33">
        <v>3</v>
      </c>
      <c r="H104">
        <v>2</v>
      </c>
      <c r="I104">
        <v>2</v>
      </c>
      <c r="J104" s="34">
        <v>1</v>
      </c>
      <c r="K104"/>
      <c r="L104"/>
      <c r="P104">
        <f t="shared" ca="1" si="3"/>
        <v>1</v>
      </c>
      <c r="Q104">
        <f t="shared" ca="1" si="3"/>
        <v>1</v>
      </c>
      <c r="R104">
        <f t="shared" ca="1" si="3"/>
        <v>5</v>
      </c>
      <c r="S104">
        <f t="shared" ca="1" si="3"/>
        <v>1</v>
      </c>
    </row>
    <row r="105" spans="1:19" x14ac:dyDescent="0.3">
      <c r="A105" s="4">
        <v>1602</v>
      </c>
      <c r="B105" s="4">
        <v>16</v>
      </c>
      <c r="C105" s="4">
        <v>2</v>
      </c>
      <c r="D105" t="s">
        <v>26</v>
      </c>
      <c r="E105" t="s">
        <v>166</v>
      </c>
      <c r="F105"/>
      <c r="G105" s="33">
        <v>6</v>
      </c>
      <c r="H105">
        <v>5</v>
      </c>
      <c r="I105">
        <v>7</v>
      </c>
      <c r="J105" s="34">
        <v>4</v>
      </c>
      <c r="K105"/>
      <c r="L105"/>
      <c r="P105">
        <f t="shared" ca="1" si="3"/>
        <v>1</v>
      </c>
      <c r="Q105">
        <f t="shared" ca="1" si="3"/>
        <v>7</v>
      </c>
      <c r="R105">
        <f t="shared" ca="1" si="3"/>
        <v>1</v>
      </c>
      <c r="S105">
        <f t="shared" ca="1" si="3"/>
        <v>5</v>
      </c>
    </row>
    <row r="106" spans="1:19" x14ac:dyDescent="0.3">
      <c r="A106" s="4">
        <v>1603</v>
      </c>
      <c r="B106" s="4">
        <v>16</v>
      </c>
      <c r="C106" s="4">
        <v>3</v>
      </c>
      <c r="D106" t="s">
        <v>231</v>
      </c>
      <c r="E106" t="s">
        <v>214</v>
      </c>
      <c r="F106"/>
      <c r="G106" s="33">
        <v>1</v>
      </c>
      <c r="H106">
        <v>3</v>
      </c>
      <c r="I106">
        <v>2</v>
      </c>
      <c r="J106" s="34">
        <v>2</v>
      </c>
      <c r="K106"/>
      <c r="L106"/>
      <c r="P106">
        <f t="shared" ca="1" si="3"/>
        <v>5</v>
      </c>
      <c r="Q106">
        <f t="shared" ca="1" si="3"/>
        <v>1</v>
      </c>
      <c r="R106">
        <f t="shared" ca="1" si="3"/>
        <v>5</v>
      </c>
      <c r="S106">
        <f t="shared" ca="1" si="3"/>
        <v>3</v>
      </c>
    </row>
    <row r="107" spans="1:19" x14ac:dyDescent="0.3">
      <c r="A107" s="4">
        <v>1604</v>
      </c>
      <c r="B107" s="4">
        <v>16</v>
      </c>
      <c r="C107" s="4">
        <v>4</v>
      </c>
      <c r="D107" t="s">
        <v>233</v>
      </c>
      <c r="E107" t="s">
        <v>232</v>
      </c>
      <c r="F107"/>
      <c r="G107" s="33">
        <v>7</v>
      </c>
      <c r="H107">
        <v>1</v>
      </c>
      <c r="I107">
        <v>4</v>
      </c>
      <c r="J107" s="34">
        <v>3</v>
      </c>
      <c r="K107"/>
      <c r="L107"/>
      <c r="P107">
        <f t="shared" ca="1" si="3"/>
        <v>6</v>
      </c>
      <c r="Q107">
        <f t="shared" ca="1" si="3"/>
        <v>1</v>
      </c>
      <c r="R107">
        <f t="shared" ca="1" si="3"/>
        <v>5</v>
      </c>
      <c r="S107">
        <f t="shared" ca="1" si="3"/>
        <v>1</v>
      </c>
    </row>
    <row r="108" spans="1:19" x14ac:dyDescent="0.3">
      <c r="A108" s="4">
        <v>1605</v>
      </c>
      <c r="B108" s="4">
        <v>16</v>
      </c>
      <c r="C108" s="4">
        <v>5</v>
      </c>
      <c r="D108" t="s">
        <v>235</v>
      </c>
      <c r="E108" t="s">
        <v>234</v>
      </c>
      <c r="F108"/>
      <c r="G108" s="33">
        <v>6</v>
      </c>
      <c r="H108">
        <v>3</v>
      </c>
      <c r="I108">
        <v>7</v>
      </c>
      <c r="J108" s="34">
        <v>3</v>
      </c>
      <c r="K108"/>
      <c r="L108"/>
      <c r="P108">
        <f t="shared" ref="P108:S132" ca="1" si="4">RANDBETWEEN(1,7)</f>
        <v>3</v>
      </c>
      <c r="Q108">
        <f t="shared" ca="1" si="4"/>
        <v>3</v>
      </c>
      <c r="R108">
        <f t="shared" ca="1" si="4"/>
        <v>5</v>
      </c>
      <c r="S108">
        <f t="shared" ca="1" si="4"/>
        <v>2</v>
      </c>
    </row>
    <row r="109" spans="1:19" x14ac:dyDescent="0.3">
      <c r="A109" s="4">
        <v>1606</v>
      </c>
      <c r="B109" s="4">
        <v>16</v>
      </c>
      <c r="C109" s="4">
        <v>6</v>
      </c>
      <c r="D109" t="s">
        <v>237</v>
      </c>
      <c r="E109" t="s">
        <v>236</v>
      </c>
      <c r="F109"/>
      <c r="G109" s="33">
        <v>5</v>
      </c>
      <c r="H109">
        <v>4</v>
      </c>
      <c r="I109">
        <v>3</v>
      </c>
      <c r="J109" s="34">
        <v>2</v>
      </c>
      <c r="K109"/>
      <c r="L109"/>
      <c r="P109">
        <f t="shared" ca="1" si="4"/>
        <v>6</v>
      </c>
      <c r="Q109">
        <f t="shared" ca="1" si="4"/>
        <v>6</v>
      </c>
      <c r="R109">
        <f t="shared" ca="1" si="4"/>
        <v>2</v>
      </c>
      <c r="S109">
        <f t="shared" ca="1" si="4"/>
        <v>2</v>
      </c>
    </row>
    <row r="110" spans="1:19" x14ac:dyDescent="0.3">
      <c r="A110" s="4">
        <v>1607</v>
      </c>
      <c r="B110" s="4">
        <v>16</v>
      </c>
      <c r="C110" s="4">
        <v>7</v>
      </c>
      <c r="D110" t="s">
        <v>239</v>
      </c>
      <c r="E110" t="s">
        <v>238</v>
      </c>
      <c r="F110"/>
      <c r="G110" s="33">
        <v>4</v>
      </c>
      <c r="H110">
        <v>5</v>
      </c>
      <c r="I110">
        <v>1</v>
      </c>
      <c r="J110" s="34">
        <v>2</v>
      </c>
      <c r="K110"/>
      <c r="L110"/>
      <c r="P110">
        <f t="shared" ca="1" si="4"/>
        <v>4</v>
      </c>
      <c r="Q110">
        <f t="shared" ca="1" si="4"/>
        <v>4</v>
      </c>
      <c r="R110">
        <f t="shared" ca="1" si="4"/>
        <v>4</v>
      </c>
      <c r="S110">
        <f t="shared" ca="1" si="4"/>
        <v>7</v>
      </c>
    </row>
    <row r="111" spans="1:19" x14ac:dyDescent="0.3">
      <c r="A111" s="4">
        <v>1608</v>
      </c>
      <c r="B111" s="4">
        <v>16</v>
      </c>
      <c r="C111" s="4">
        <v>8</v>
      </c>
      <c r="D111" t="s">
        <v>37</v>
      </c>
      <c r="E111" t="s">
        <v>207</v>
      </c>
      <c r="F111"/>
      <c r="G111" s="33">
        <v>2</v>
      </c>
      <c r="H111">
        <v>6</v>
      </c>
      <c r="I111">
        <v>7</v>
      </c>
      <c r="J111" s="34">
        <v>6</v>
      </c>
      <c r="K111"/>
      <c r="L111"/>
      <c r="P111">
        <f t="shared" ca="1" si="4"/>
        <v>2</v>
      </c>
      <c r="Q111">
        <f t="shared" ca="1" si="4"/>
        <v>3</v>
      </c>
      <c r="R111">
        <f t="shared" ca="1" si="4"/>
        <v>3</v>
      </c>
      <c r="S111">
        <f t="shared" ca="1" si="4"/>
        <v>5</v>
      </c>
    </row>
    <row r="112" spans="1:19" x14ac:dyDescent="0.3">
      <c r="A112" s="4">
        <v>1609</v>
      </c>
      <c r="B112" s="4">
        <v>16</v>
      </c>
      <c r="C112" s="4">
        <v>9</v>
      </c>
      <c r="D112" t="s">
        <v>241</v>
      </c>
      <c r="E112" t="s">
        <v>240</v>
      </c>
      <c r="F112"/>
      <c r="G112" s="33">
        <v>1</v>
      </c>
      <c r="H112">
        <v>3</v>
      </c>
      <c r="I112">
        <v>2</v>
      </c>
      <c r="J112" s="34">
        <v>6</v>
      </c>
      <c r="K112"/>
      <c r="L112"/>
      <c r="P112">
        <f t="shared" ca="1" si="4"/>
        <v>3</v>
      </c>
      <c r="Q112">
        <f t="shared" ca="1" si="4"/>
        <v>1</v>
      </c>
      <c r="R112">
        <f t="shared" ca="1" si="4"/>
        <v>1</v>
      </c>
      <c r="S112">
        <f t="shared" ca="1" si="4"/>
        <v>5</v>
      </c>
    </row>
    <row r="113" spans="1:19" x14ac:dyDescent="0.3">
      <c r="A113" s="4">
        <v>1701</v>
      </c>
      <c r="B113" s="4">
        <v>17</v>
      </c>
      <c r="C113" s="4">
        <v>1</v>
      </c>
      <c r="D113" t="s">
        <v>68</v>
      </c>
      <c r="E113" t="s">
        <v>145</v>
      </c>
      <c r="F113"/>
      <c r="G113" s="33">
        <v>7</v>
      </c>
      <c r="H113">
        <v>2</v>
      </c>
      <c r="I113">
        <v>2</v>
      </c>
      <c r="J113" s="34">
        <v>6</v>
      </c>
      <c r="K113"/>
      <c r="L113"/>
      <c r="P113">
        <f t="shared" ca="1" si="4"/>
        <v>2</v>
      </c>
      <c r="Q113">
        <f t="shared" ca="1" si="4"/>
        <v>3</v>
      </c>
      <c r="R113">
        <f t="shared" ca="1" si="4"/>
        <v>5</v>
      </c>
      <c r="S113">
        <f t="shared" ca="1" si="4"/>
        <v>3</v>
      </c>
    </row>
    <row r="114" spans="1:19" x14ac:dyDescent="0.3">
      <c r="A114" s="4">
        <v>1702</v>
      </c>
      <c r="B114" s="4">
        <v>17</v>
      </c>
      <c r="C114" s="4">
        <v>2</v>
      </c>
      <c r="D114" t="s">
        <v>69</v>
      </c>
      <c r="E114" t="s">
        <v>185</v>
      </c>
      <c r="F114"/>
      <c r="G114" s="33">
        <v>6</v>
      </c>
      <c r="H114">
        <v>5</v>
      </c>
      <c r="I114">
        <v>3</v>
      </c>
      <c r="J114" s="34">
        <v>3</v>
      </c>
      <c r="K114"/>
      <c r="L114"/>
      <c r="P114">
        <f t="shared" ca="1" si="4"/>
        <v>2</v>
      </c>
      <c r="Q114">
        <f t="shared" ca="1" si="4"/>
        <v>2</v>
      </c>
      <c r="R114">
        <f t="shared" ca="1" si="4"/>
        <v>1</v>
      </c>
      <c r="S114">
        <f t="shared" ca="1" si="4"/>
        <v>2</v>
      </c>
    </row>
    <row r="115" spans="1:19" x14ac:dyDescent="0.3">
      <c r="A115" s="4">
        <v>1703</v>
      </c>
      <c r="B115" s="4">
        <v>17</v>
      </c>
      <c r="C115" s="4">
        <v>3</v>
      </c>
      <c r="D115" t="s">
        <v>53</v>
      </c>
      <c r="E115" t="s">
        <v>242</v>
      </c>
      <c r="F115"/>
      <c r="G115" s="33">
        <v>3</v>
      </c>
      <c r="H115">
        <v>3</v>
      </c>
      <c r="I115">
        <v>3</v>
      </c>
      <c r="J115" s="34">
        <v>6</v>
      </c>
      <c r="K115"/>
      <c r="L115"/>
      <c r="P115">
        <f t="shared" ca="1" si="4"/>
        <v>1</v>
      </c>
      <c r="Q115">
        <f t="shared" ca="1" si="4"/>
        <v>4</v>
      </c>
      <c r="R115">
        <f t="shared" ca="1" si="4"/>
        <v>2</v>
      </c>
      <c r="S115">
        <f t="shared" ca="1" si="4"/>
        <v>2</v>
      </c>
    </row>
    <row r="116" spans="1:19" x14ac:dyDescent="0.3">
      <c r="A116" s="4">
        <v>1704</v>
      </c>
      <c r="B116" s="4">
        <v>17</v>
      </c>
      <c r="C116" s="4">
        <v>4</v>
      </c>
      <c r="D116" t="s">
        <v>243</v>
      </c>
      <c r="E116" t="s">
        <v>194</v>
      </c>
      <c r="F116"/>
      <c r="G116" s="33">
        <v>1</v>
      </c>
      <c r="H116">
        <v>7</v>
      </c>
      <c r="I116">
        <v>7</v>
      </c>
      <c r="J116" s="34">
        <v>4</v>
      </c>
      <c r="K116"/>
      <c r="L116"/>
      <c r="P116">
        <f t="shared" ca="1" si="4"/>
        <v>4</v>
      </c>
      <c r="Q116">
        <f t="shared" ca="1" si="4"/>
        <v>2</v>
      </c>
      <c r="R116">
        <f t="shared" ca="1" si="4"/>
        <v>3</v>
      </c>
      <c r="S116">
        <f t="shared" ca="1" si="4"/>
        <v>1</v>
      </c>
    </row>
    <row r="117" spans="1:19" x14ac:dyDescent="0.3">
      <c r="A117" s="4">
        <v>1705</v>
      </c>
      <c r="B117" s="4">
        <v>17</v>
      </c>
      <c r="C117" s="4">
        <v>5</v>
      </c>
      <c r="D117" t="s">
        <v>244</v>
      </c>
      <c r="E117" t="s">
        <v>238</v>
      </c>
      <c r="F117"/>
      <c r="G117" s="33">
        <v>5</v>
      </c>
      <c r="H117">
        <v>2</v>
      </c>
      <c r="I117">
        <v>2</v>
      </c>
      <c r="J117" s="34">
        <v>7</v>
      </c>
      <c r="K117"/>
      <c r="L117"/>
      <c r="P117">
        <f t="shared" ca="1" si="4"/>
        <v>6</v>
      </c>
      <c r="Q117">
        <f t="shared" ca="1" si="4"/>
        <v>2</v>
      </c>
      <c r="R117">
        <f t="shared" ca="1" si="4"/>
        <v>3</v>
      </c>
      <c r="S117">
        <f t="shared" ca="1" si="4"/>
        <v>3</v>
      </c>
    </row>
    <row r="118" spans="1:19" x14ac:dyDescent="0.3">
      <c r="A118" s="4">
        <v>1706</v>
      </c>
      <c r="B118" s="4">
        <v>17</v>
      </c>
      <c r="C118" s="4">
        <v>6</v>
      </c>
      <c r="D118" t="s">
        <v>72</v>
      </c>
      <c r="E118" t="s">
        <v>123</v>
      </c>
      <c r="F118"/>
      <c r="G118" s="33">
        <v>4</v>
      </c>
      <c r="H118">
        <v>6</v>
      </c>
      <c r="I118">
        <v>1</v>
      </c>
      <c r="J118" s="34">
        <v>4</v>
      </c>
      <c r="K118"/>
      <c r="L118"/>
      <c r="P118">
        <f t="shared" ca="1" si="4"/>
        <v>3</v>
      </c>
      <c r="Q118">
        <f t="shared" ca="1" si="4"/>
        <v>5</v>
      </c>
      <c r="R118">
        <f t="shared" ca="1" si="4"/>
        <v>2</v>
      </c>
      <c r="S118">
        <f t="shared" ca="1" si="4"/>
        <v>5</v>
      </c>
    </row>
    <row r="119" spans="1:19" x14ac:dyDescent="0.3">
      <c r="A119" s="4">
        <v>1707</v>
      </c>
      <c r="B119" s="4">
        <v>17</v>
      </c>
      <c r="C119" s="4">
        <v>7</v>
      </c>
      <c r="D119" t="s">
        <v>245</v>
      </c>
      <c r="E119" t="s">
        <v>146</v>
      </c>
      <c r="F119"/>
      <c r="G119" s="33">
        <v>6</v>
      </c>
      <c r="H119">
        <v>4</v>
      </c>
      <c r="I119">
        <v>5</v>
      </c>
      <c r="J119" s="34">
        <v>7</v>
      </c>
      <c r="K119"/>
      <c r="L119"/>
      <c r="P119">
        <f t="shared" ca="1" si="4"/>
        <v>5</v>
      </c>
      <c r="Q119">
        <f t="shared" ca="1" si="4"/>
        <v>4</v>
      </c>
      <c r="R119">
        <f t="shared" ca="1" si="4"/>
        <v>5</v>
      </c>
      <c r="S119">
        <f t="shared" ca="1" si="4"/>
        <v>5</v>
      </c>
    </row>
    <row r="120" spans="1:19" x14ac:dyDescent="0.3">
      <c r="A120" s="4">
        <v>1708</v>
      </c>
      <c r="B120" s="4">
        <v>17</v>
      </c>
      <c r="C120" s="4">
        <v>8</v>
      </c>
      <c r="D120" t="s">
        <v>71</v>
      </c>
      <c r="E120" t="s">
        <v>136</v>
      </c>
      <c r="F120"/>
      <c r="G120" s="33">
        <v>3</v>
      </c>
      <c r="H120">
        <v>2</v>
      </c>
      <c r="I120">
        <v>7</v>
      </c>
      <c r="J120" s="34">
        <v>5</v>
      </c>
      <c r="K120"/>
      <c r="L120"/>
      <c r="P120">
        <f t="shared" ca="1" si="4"/>
        <v>1</v>
      </c>
      <c r="Q120">
        <f t="shared" ca="1" si="4"/>
        <v>6</v>
      </c>
      <c r="R120">
        <f t="shared" ca="1" si="4"/>
        <v>6</v>
      </c>
      <c r="S120">
        <f t="shared" ca="1" si="4"/>
        <v>1</v>
      </c>
    </row>
    <row r="121" spans="1:19" x14ac:dyDescent="0.3">
      <c r="A121" s="4">
        <v>1709</v>
      </c>
      <c r="B121" s="4">
        <v>17</v>
      </c>
      <c r="C121" s="4">
        <v>9</v>
      </c>
      <c r="D121" t="s">
        <v>247</v>
      </c>
      <c r="E121" t="s">
        <v>246</v>
      </c>
      <c r="F121"/>
      <c r="G121" s="33">
        <v>4</v>
      </c>
      <c r="H121">
        <v>3</v>
      </c>
      <c r="I121">
        <v>7</v>
      </c>
      <c r="J121" s="34">
        <v>4</v>
      </c>
      <c r="K121"/>
      <c r="L121"/>
      <c r="P121">
        <f t="shared" ca="1" si="4"/>
        <v>3</v>
      </c>
      <c r="Q121">
        <f t="shared" ca="1" si="4"/>
        <v>3</v>
      </c>
      <c r="R121">
        <f t="shared" ca="1" si="4"/>
        <v>2</v>
      </c>
      <c r="S121">
        <f t="shared" ca="1" si="4"/>
        <v>1</v>
      </c>
    </row>
    <row r="122" spans="1:19" x14ac:dyDescent="0.3">
      <c r="A122" s="4">
        <v>1710</v>
      </c>
      <c r="B122" s="4">
        <v>17</v>
      </c>
      <c r="C122" s="4">
        <v>10</v>
      </c>
      <c r="D122" t="s">
        <v>249</v>
      </c>
      <c r="E122" t="s">
        <v>248</v>
      </c>
      <c r="F122"/>
      <c r="G122" s="33">
        <v>4</v>
      </c>
      <c r="H122">
        <v>6</v>
      </c>
      <c r="I122">
        <v>5</v>
      </c>
      <c r="J122" s="34">
        <v>1</v>
      </c>
      <c r="K122"/>
      <c r="L122"/>
      <c r="P122">
        <f t="shared" ca="1" si="4"/>
        <v>2</v>
      </c>
      <c r="Q122">
        <f t="shared" ca="1" si="4"/>
        <v>5</v>
      </c>
      <c r="R122">
        <f t="shared" ca="1" si="4"/>
        <v>4</v>
      </c>
      <c r="S122">
        <f t="shared" ca="1" si="4"/>
        <v>4</v>
      </c>
    </row>
    <row r="123" spans="1:19" x14ac:dyDescent="0.3">
      <c r="A123" s="4">
        <v>1801</v>
      </c>
      <c r="B123" s="4">
        <v>18</v>
      </c>
      <c r="C123" s="4">
        <v>1</v>
      </c>
      <c r="D123" t="s">
        <v>73</v>
      </c>
      <c r="E123" t="s">
        <v>135</v>
      </c>
      <c r="F123"/>
      <c r="G123" s="33">
        <v>3</v>
      </c>
      <c r="H123">
        <v>4</v>
      </c>
      <c r="I123">
        <v>6</v>
      </c>
      <c r="J123" s="34">
        <v>3</v>
      </c>
      <c r="K123"/>
      <c r="L123"/>
      <c r="P123">
        <f t="shared" ca="1" si="4"/>
        <v>5</v>
      </c>
      <c r="Q123">
        <f t="shared" ca="1" si="4"/>
        <v>4</v>
      </c>
      <c r="R123">
        <f t="shared" ca="1" si="4"/>
        <v>7</v>
      </c>
      <c r="S123">
        <f t="shared" ca="1" si="4"/>
        <v>2</v>
      </c>
    </row>
    <row r="124" spans="1:19" x14ac:dyDescent="0.3">
      <c r="A124" s="4">
        <v>1802</v>
      </c>
      <c r="B124" s="4">
        <v>18</v>
      </c>
      <c r="C124" s="4">
        <v>2</v>
      </c>
      <c r="D124" t="s">
        <v>32</v>
      </c>
      <c r="E124" t="s">
        <v>155</v>
      </c>
      <c r="F124"/>
      <c r="G124" s="33">
        <v>5</v>
      </c>
      <c r="H124">
        <v>2</v>
      </c>
      <c r="I124">
        <v>5</v>
      </c>
      <c r="J124" s="34">
        <v>5</v>
      </c>
      <c r="K124"/>
      <c r="L124"/>
      <c r="P124">
        <f t="shared" ca="1" si="4"/>
        <v>2</v>
      </c>
      <c r="Q124">
        <f t="shared" ca="1" si="4"/>
        <v>3</v>
      </c>
      <c r="R124">
        <f t="shared" ca="1" si="4"/>
        <v>6</v>
      </c>
      <c r="S124">
        <f t="shared" ca="1" si="4"/>
        <v>1</v>
      </c>
    </row>
    <row r="125" spans="1:19" x14ac:dyDescent="0.3">
      <c r="A125" s="4">
        <v>1803</v>
      </c>
      <c r="B125" s="4">
        <v>18</v>
      </c>
      <c r="C125" s="4">
        <v>3</v>
      </c>
      <c r="D125" t="s">
        <v>45</v>
      </c>
      <c r="E125" t="s">
        <v>236</v>
      </c>
      <c r="F125"/>
      <c r="G125" s="33">
        <v>2</v>
      </c>
      <c r="H125">
        <v>3</v>
      </c>
      <c r="I125">
        <v>4</v>
      </c>
      <c r="J125" s="34">
        <v>3</v>
      </c>
      <c r="K125"/>
      <c r="L125"/>
      <c r="P125">
        <f t="shared" ca="1" si="4"/>
        <v>5</v>
      </c>
      <c r="Q125">
        <f t="shared" ca="1" si="4"/>
        <v>2</v>
      </c>
      <c r="R125">
        <f t="shared" ca="1" si="4"/>
        <v>6</v>
      </c>
      <c r="S125">
        <f t="shared" ca="1" si="4"/>
        <v>5</v>
      </c>
    </row>
    <row r="126" spans="1:19" x14ac:dyDescent="0.3">
      <c r="A126" s="4">
        <v>1804</v>
      </c>
      <c r="B126" s="4">
        <v>18</v>
      </c>
      <c r="C126" s="4">
        <v>4</v>
      </c>
      <c r="D126" t="s">
        <v>25</v>
      </c>
      <c r="E126" t="s">
        <v>147</v>
      </c>
      <c r="F126"/>
      <c r="G126" s="33">
        <v>6</v>
      </c>
      <c r="H126">
        <v>2</v>
      </c>
      <c r="I126">
        <v>1</v>
      </c>
      <c r="J126" s="34">
        <v>7</v>
      </c>
      <c r="K126"/>
      <c r="L126"/>
      <c r="P126">
        <f t="shared" ca="1" si="4"/>
        <v>4</v>
      </c>
      <c r="Q126">
        <f t="shared" ca="1" si="4"/>
        <v>1</v>
      </c>
      <c r="R126">
        <f t="shared" ca="1" si="4"/>
        <v>3</v>
      </c>
      <c r="S126">
        <f t="shared" ca="1" si="4"/>
        <v>7</v>
      </c>
    </row>
    <row r="127" spans="1:19" x14ac:dyDescent="0.3">
      <c r="A127" s="4">
        <v>1805</v>
      </c>
      <c r="B127" s="4">
        <v>18</v>
      </c>
      <c r="C127" s="4">
        <v>5</v>
      </c>
      <c r="D127" t="s">
        <v>25</v>
      </c>
      <c r="E127" t="s">
        <v>194</v>
      </c>
      <c r="F127"/>
      <c r="G127" s="33">
        <v>7</v>
      </c>
      <c r="H127">
        <v>3</v>
      </c>
      <c r="I127">
        <v>1</v>
      </c>
      <c r="J127" s="34">
        <v>6</v>
      </c>
      <c r="K127"/>
      <c r="L127"/>
      <c r="P127">
        <f t="shared" ca="1" si="4"/>
        <v>2</v>
      </c>
      <c r="Q127">
        <f t="shared" ca="1" si="4"/>
        <v>3</v>
      </c>
      <c r="R127">
        <f t="shared" ca="1" si="4"/>
        <v>7</v>
      </c>
      <c r="S127">
        <f t="shared" ca="1" si="4"/>
        <v>3</v>
      </c>
    </row>
    <row r="128" spans="1:19" x14ac:dyDescent="0.3">
      <c r="A128" s="4">
        <v>1806</v>
      </c>
      <c r="B128" s="4">
        <v>18</v>
      </c>
      <c r="C128" s="4">
        <v>6</v>
      </c>
      <c r="D128" t="s">
        <v>250</v>
      </c>
      <c r="E128" t="s">
        <v>176</v>
      </c>
      <c r="F128"/>
      <c r="G128" s="33">
        <v>4</v>
      </c>
      <c r="H128">
        <v>6</v>
      </c>
      <c r="I128">
        <v>7</v>
      </c>
      <c r="J128" s="34">
        <v>4</v>
      </c>
      <c r="K128"/>
      <c r="L128"/>
      <c r="P128">
        <f t="shared" ca="1" si="4"/>
        <v>4</v>
      </c>
      <c r="Q128">
        <f t="shared" ca="1" si="4"/>
        <v>7</v>
      </c>
      <c r="R128">
        <f t="shared" ca="1" si="4"/>
        <v>3</v>
      </c>
      <c r="S128">
        <f t="shared" ca="1" si="4"/>
        <v>3</v>
      </c>
    </row>
    <row r="129" spans="1:19" x14ac:dyDescent="0.3">
      <c r="A129" s="4">
        <v>1807</v>
      </c>
      <c r="B129" s="4">
        <v>18</v>
      </c>
      <c r="C129" s="4">
        <v>7</v>
      </c>
      <c r="D129" t="s">
        <v>251</v>
      </c>
      <c r="E129" t="s">
        <v>159</v>
      </c>
      <c r="F129"/>
      <c r="G129" s="33">
        <v>2</v>
      </c>
      <c r="H129">
        <v>1</v>
      </c>
      <c r="I129">
        <v>3</v>
      </c>
      <c r="J129" s="34">
        <v>2</v>
      </c>
      <c r="K129"/>
      <c r="L129"/>
      <c r="P129">
        <f t="shared" ca="1" si="4"/>
        <v>5</v>
      </c>
      <c r="Q129">
        <f t="shared" ca="1" si="4"/>
        <v>1</v>
      </c>
      <c r="R129">
        <f t="shared" ca="1" si="4"/>
        <v>7</v>
      </c>
      <c r="S129">
        <f t="shared" ca="1" si="4"/>
        <v>1</v>
      </c>
    </row>
    <row r="130" spans="1:19" x14ac:dyDescent="0.3">
      <c r="A130" s="4">
        <v>1808</v>
      </c>
      <c r="B130" s="4">
        <v>18</v>
      </c>
      <c r="C130" s="4">
        <v>8</v>
      </c>
      <c r="D130" t="s">
        <v>253</v>
      </c>
      <c r="E130" t="s">
        <v>252</v>
      </c>
      <c r="F130"/>
      <c r="G130" s="33">
        <v>2</v>
      </c>
      <c r="H130">
        <v>6</v>
      </c>
      <c r="I130">
        <v>5</v>
      </c>
      <c r="J130" s="34">
        <v>6</v>
      </c>
      <c r="K130"/>
      <c r="L130"/>
      <c r="P130">
        <f t="shared" ca="1" si="4"/>
        <v>3</v>
      </c>
      <c r="Q130">
        <f t="shared" ca="1" si="4"/>
        <v>7</v>
      </c>
      <c r="R130">
        <f t="shared" ca="1" si="4"/>
        <v>2</v>
      </c>
      <c r="S130">
        <f t="shared" ca="1" si="4"/>
        <v>5</v>
      </c>
    </row>
    <row r="131" spans="1:19" x14ac:dyDescent="0.3">
      <c r="A131" s="4">
        <v>1809</v>
      </c>
      <c r="B131" s="4">
        <v>18</v>
      </c>
      <c r="C131" s="4">
        <v>9</v>
      </c>
      <c r="D131" t="s">
        <v>254</v>
      </c>
      <c r="E131" t="s">
        <v>136</v>
      </c>
      <c r="F131"/>
      <c r="G131" s="33">
        <v>5</v>
      </c>
      <c r="H131">
        <v>5</v>
      </c>
      <c r="I131">
        <v>4</v>
      </c>
      <c r="J131" s="34">
        <v>6</v>
      </c>
      <c r="K131"/>
      <c r="L131"/>
      <c r="P131">
        <f t="shared" ca="1" si="4"/>
        <v>2</v>
      </c>
      <c r="Q131">
        <f t="shared" ca="1" si="4"/>
        <v>3</v>
      </c>
      <c r="R131">
        <f t="shared" ca="1" si="4"/>
        <v>6</v>
      </c>
      <c r="S131">
        <f t="shared" ca="1" si="4"/>
        <v>7</v>
      </c>
    </row>
    <row r="132" spans="1:19" x14ac:dyDescent="0.3">
      <c r="A132" s="4">
        <v>1810</v>
      </c>
      <c r="B132" s="4">
        <v>18</v>
      </c>
      <c r="C132" s="4">
        <v>10</v>
      </c>
      <c r="D132" t="s">
        <v>255</v>
      </c>
      <c r="E132" t="s">
        <v>183</v>
      </c>
      <c r="F132"/>
      <c r="G132" s="33">
        <v>1</v>
      </c>
      <c r="H132">
        <v>1</v>
      </c>
      <c r="I132">
        <v>2</v>
      </c>
      <c r="J132" s="34">
        <v>3</v>
      </c>
      <c r="K132"/>
      <c r="L132"/>
      <c r="P132">
        <f t="shared" ca="1" si="4"/>
        <v>6</v>
      </c>
      <c r="Q132">
        <f t="shared" ca="1" si="4"/>
        <v>7</v>
      </c>
      <c r="R132">
        <f t="shared" ca="1" si="4"/>
        <v>5</v>
      </c>
      <c r="S132">
        <f t="shared" ca="1" si="4"/>
        <v>1</v>
      </c>
    </row>
    <row r="133" spans="1:19" x14ac:dyDescent="0.3">
      <c r="F133"/>
      <c r="G133"/>
      <c r="H133"/>
      <c r="I133"/>
      <c r="J133"/>
      <c r="K133"/>
      <c r="L133"/>
    </row>
    <row r="134" spans="1:19" x14ac:dyDescent="0.3">
      <c r="F134"/>
      <c r="G134"/>
      <c r="H134"/>
      <c r="I134"/>
      <c r="J134"/>
      <c r="K134"/>
      <c r="L134"/>
    </row>
    <row r="135" spans="1:19" x14ac:dyDescent="0.3">
      <c r="F135"/>
      <c r="G135"/>
      <c r="H135"/>
      <c r="I135"/>
      <c r="J135"/>
      <c r="K135"/>
      <c r="L135"/>
    </row>
    <row r="136" spans="1:19" x14ac:dyDescent="0.3">
      <c r="F136"/>
      <c r="G136"/>
      <c r="H136"/>
      <c r="I136"/>
      <c r="J136"/>
      <c r="K136"/>
      <c r="L136"/>
    </row>
    <row r="137" spans="1:19" x14ac:dyDescent="0.3">
      <c r="F137"/>
      <c r="G137"/>
      <c r="H137"/>
      <c r="I137"/>
      <c r="J137"/>
      <c r="K137"/>
      <c r="L137"/>
    </row>
    <row r="138" spans="1:19" x14ac:dyDescent="0.3">
      <c r="F138"/>
      <c r="G138"/>
      <c r="H138"/>
      <c r="I138"/>
      <c r="J138"/>
      <c r="K138"/>
      <c r="L138"/>
    </row>
    <row r="139" spans="1:19" x14ac:dyDescent="0.3">
      <c r="F139"/>
      <c r="G139"/>
      <c r="H139"/>
      <c r="I139"/>
      <c r="J139"/>
      <c r="K139"/>
      <c r="L139"/>
    </row>
    <row r="140" spans="1:19" x14ac:dyDescent="0.3">
      <c r="F140"/>
      <c r="G140"/>
      <c r="H140"/>
      <c r="I140"/>
      <c r="J140"/>
      <c r="K140"/>
      <c r="L140"/>
    </row>
    <row r="141" spans="1:19" x14ac:dyDescent="0.3">
      <c r="F141"/>
      <c r="G141"/>
      <c r="H141"/>
      <c r="I141"/>
      <c r="J141"/>
      <c r="K141"/>
      <c r="L141"/>
    </row>
    <row r="142" spans="1:19" x14ac:dyDescent="0.3">
      <c r="F142"/>
      <c r="G142"/>
      <c r="H142"/>
      <c r="I142"/>
      <c r="J142"/>
      <c r="K142"/>
      <c r="L142"/>
    </row>
    <row r="143" spans="1:19" x14ac:dyDescent="0.3">
      <c r="F143"/>
      <c r="G143"/>
      <c r="H143"/>
      <c r="I143"/>
      <c r="J143"/>
      <c r="K143"/>
      <c r="L143"/>
    </row>
    <row r="144" spans="1:19" x14ac:dyDescent="0.3">
      <c r="F144"/>
      <c r="G144"/>
      <c r="H144"/>
      <c r="I144"/>
      <c r="J144"/>
      <c r="K144"/>
      <c r="L144"/>
    </row>
    <row r="145" spans="6:12" x14ac:dyDescent="0.3">
      <c r="F145"/>
      <c r="G145"/>
      <c r="H145"/>
      <c r="I145"/>
      <c r="J145"/>
      <c r="K145"/>
      <c r="L145"/>
    </row>
    <row r="146" spans="6:12" x14ac:dyDescent="0.3">
      <c r="F146"/>
      <c r="G146"/>
      <c r="H146"/>
      <c r="I146"/>
      <c r="J146"/>
      <c r="K146"/>
      <c r="L146"/>
    </row>
    <row r="147" spans="6:12" x14ac:dyDescent="0.3">
      <c r="F147"/>
      <c r="G147"/>
      <c r="H147"/>
      <c r="I147"/>
      <c r="J147"/>
      <c r="K147"/>
      <c r="L147"/>
    </row>
    <row r="148" spans="6:12" x14ac:dyDescent="0.3">
      <c r="F148"/>
      <c r="G148"/>
      <c r="H148"/>
      <c r="I148"/>
      <c r="J148"/>
      <c r="K148"/>
      <c r="L148"/>
    </row>
    <row r="149" spans="6:12" x14ac:dyDescent="0.3">
      <c r="F149"/>
      <c r="G149"/>
      <c r="H149"/>
      <c r="I149"/>
      <c r="J149"/>
      <c r="K149"/>
      <c r="L149"/>
    </row>
    <row r="150" spans="6:12" x14ac:dyDescent="0.3">
      <c r="F150"/>
      <c r="G150"/>
      <c r="H150"/>
      <c r="I150"/>
      <c r="J150"/>
      <c r="K150"/>
      <c r="L150"/>
    </row>
    <row r="151" spans="6:12" x14ac:dyDescent="0.3">
      <c r="F151"/>
      <c r="G151"/>
      <c r="H151"/>
      <c r="I151"/>
      <c r="J151"/>
      <c r="K151"/>
      <c r="L151"/>
    </row>
    <row r="152" spans="6:12" x14ac:dyDescent="0.3">
      <c r="F152"/>
      <c r="G152"/>
      <c r="H152"/>
      <c r="I152"/>
      <c r="J152"/>
      <c r="K152"/>
      <c r="L152"/>
    </row>
    <row r="153" spans="6:12" x14ac:dyDescent="0.3">
      <c r="F153"/>
      <c r="G153"/>
      <c r="H153"/>
      <c r="I153"/>
      <c r="J153"/>
      <c r="K153"/>
      <c r="L153"/>
    </row>
    <row r="154" spans="6:12" x14ac:dyDescent="0.3">
      <c r="F154"/>
      <c r="G154"/>
      <c r="H154"/>
      <c r="I154"/>
      <c r="J154"/>
      <c r="K154"/>
      <c r="L154"/>
    </row>
    <row r="155" spans="6:12" x14ac:dyDescent="0.3">
      <c r="F155"/>
      <c r="G155"/>
      <c r="H155"/>
      <c r="I155"/>
      <c r="J155"/>
      <c r="K155"/>
      <c r="L155"/>
    </row>
    <row r="156" spans="6:12" x14ac:dyDescent="0.3">
      <c r="F156"/>
      <c r="G156"/>
      <c r="H156"/>
      <c r="I156"/>
      <c r="J156"/>
      <c r="K156"/>
      <c r="L156"/>
    </row>
    <row r="157" spans="6:12" x14ac:dyDescent="0.3">
      <c r="F157"/>
      <c r="G157"/>
      <c r="H157"/>
      <c r="I157"/>
      <c r="J157"/>
      <c r="K157"/>
      <c r="L157"/>
    </row>
    <row r="158" spans="6:12" x14ac:dyDescent="0.3">
      <c r="F158"/>
      <c r="G158"/>
      <c r="H158"/>
      <c r="I158"/>
      <c r="J158"/>
      <c r="K158"/>
      <c r="L158"/>
    </row>
    <row r="159" spans="6:12" x14ac:dyDescent="0.3">
      <c r="F159"/>
      <c r="G159"/>
      <c r="H159"/>
      <c r="I159"/>
      <c r="J159"/>
      <c r="K159"/>
      <c r="L159"/>
    </row>
    <row r="160" spans="6:12" x14ac:dyDescent="0.3">
      <c r="F160"/>
      <c r="G160"/>
      <c r="H160"/>
      <c r="I160"/>
      <c r="J160"/>
      <c r="K160"/>
      <c r="L160"/>
    </row>
    <row r="161" spans="6:12" x14ac:dyDescent="0.3">
      <c r="F161"/>
      <c r="G161"/>
      <c r="H161"/>
      <c r="I161"/>
      <c r="J161"/>
      <c r="K161"/>
      <c r="L161"/>
    </row>
    <row r="162" spans="6:12" x14ac:dyDescent="0.3">
      <c r="F162"/>
      <c r="G162"/>
      <c r="H162"/>
      <c r="I162"/>
      <c r="J162"/>
      <c r="K162"/>
      <c r="L162"/>
    </row>
    <row r="163" spans="6:12" x14ac:dyDescent="0.3">
      <c r="F163"/>
      <c r="G163"/>
      <c r="H163"/>
      <c r="I163"/>
      <c r="J163"/>
      <c r="K163"/>
      <c r="L163"/>
    </row>
    <row r="164" spans="6:12" x14ac:dyDescent="0.3">
      <c r="F164"/>
      <c r="G164"/>
      <c r="H164"/>
      <c r="I164"/>
      <c r="J164"/>
      <c r="K164"/>
      <c r="L164"/>
    </row>
    <row r="165" spans="6:12" x14ac:dyDescent="0.3">
      <c r="F165"/>
      <c r="G165"/>
      <c r="H165"/>
      <c r="I165"/>
      <c r="J165"/>
      <c r="K165"/>
      <c r="L165"/>
    </row>
    <row r="166" spans="6:12" x14ac:dyDescent="0.3">
      <c r="F166"/>
      <c r="G166"/>
      <c r="H166"/>
      <c r="I166"/>
      <c r="J166"/>
      <c r="K166"/>
      <c r="L166"/>
    </row>
    <row r="167" spans="6:12" x14ac:dyDescent="0.3">
      <c r="F167"/>
      <c r="G167"/>
      <c r="H167"/>
      <c r="I167"/>
      <c r="J167"/>
      <c r="K167"/>
      <c r="L167"/>
    </row>
    <row r="168" spans="6:12" x14ac:dyDescent="0.3">
      <c r="F168"/>
      <c r="G168"/>
      <c r="H168"/>
      <c r="I168"/>
      <c r="J168"/>
      <c r="K168"/>
      <c r="L168"/>
    </row>
    <row r="169" spans="6:12" x14ac:dyDescent="0.3">
      <c r="F169"/>
      <c r="G169"/>
      <c r="H169"/>
      <c r="I169"/>
      <c r="J169"/>
      <c r="K169"/>
      <c r="L169"/>
    </row>
    <row r="170" spans="6:12" x14ac:dyDescent="0.3">
      <c r="F170"/>
      <c r="G170"/>
      <c r="H170"/>
      <c r="I170"/>
      <c r="J170"/>
      <c r="K170"/>
      <c r="L170"/>
    </row>
    <row r="171" spans="6:12" x14ac:dyDescent="0.3">
      <c r="F171"/>
      <c r="G171"/>
      <c r="H171"/>
      <c r="I171"/>
      <c r="J171"/>
      <c r="K171"/>
      <c r="L171"/>
    </row>
    <row r="172" spans="6:12" x14ac:dyDescent="0.3">
      <c r="F172"/>
      <c r="G172"/>
      <c r="H172"/>
      <c r="I172"/>
      <c r="J172"/>
      <c r="K172"/>
      <c r="L172"/>
    </row>
    <row r="173" spans="6:12" x14ac:dyDescent="0.3">
      <c r="F173"/>
      <c r="G173"/>
      <c r="H173"/>
      <c r="I173"/>
      <c r="J173"/>
      <c r="K173"/>
      <c r="L173"/>
    </row>
    <row r="174" spans="6:12" x14ac:dyDescent="0.3">
      <c r="F174"/>
      <c r="G174"/>
      <c r="H174"/>
      <c r="I174"/>
      <c r="J174"/>
      <c r="K174"/>
      <c r="L174"/>
    </row>
    <row r="175" spans="6:12" x14ac:dyDescent="0.3">
      <c r="F175"/>
      <c r="G175"/>
      <c r="H175"/>
      <c r="I175"/>
      <c r="J175"/>
      <c r="K175"/>
      <c r="L175"/>
    </row>
    <row r="176" spans="6:12" x14ac:dyDescent="0.3">
      <c r="F176"/>
      <c r="G176"/>
      <c r="H176"/>
      <c r="I176"/>
      <c r="J176"/>
      <c r="K176"/>
      <c r="L176"/>
    </row>
    <row r="177" spans="6:12" x14ac:dyDescent="0.3">
      <c r="F177"/>
      <c r="G177"/>
      <c r="H177"/>
      <c r="I177"/>
      <c r="J177"/>
      <c r="K177"/>
      <c r="L177"/>
    </row>
    <row r="178" spans="6:12" x14ac:dyDescent="0.3">
      <c r="F178"/>
      <c r="G178"/>
      <c r="H178"/>
      <c r="I178"/>
      <c r="J178"/>
      <c r="K178"/>
      <c r="L178"/>
    </row>
    <row r="179" spans="6:12" x14ac:dyDescent="0.3">
      <c r="F179"/>
      <c r="G179"/>
      <c r="H179"/>
      <c r="I179"/>
      <c r="J179"/>
      <c r="K179"/>
      <c r="L179"/>
    </row>
    <row r="180" spans="6:12" x14ac:dyDescent="0.3">
      <c r="F180"/>
      <c r="G180"/>
      <c r="H180"/>
      <c r="I180"/>
      <c r="J180"/>
      <c r="K180"/>
      <c r="L180"/>
    </row>
    <row r="181" spans="6:12" x14ac:dyDescent="0.3">
      <c r="F181"/>
      <c r="G181"/>
      <c r="H181"/>
      <c r="I181"/>
      <c r="J181"/>
      <c r="K181"/>
      <c r="L181"/>
    </row>
    <row r="182" spans="6:12" x14ac:dyDescent="0.3">
      <c r="F182"/>
      <c r="G182"/>
      <c r="H182"/>
      <c r="I182"/>
      <c r="J182"/>
      <c r="K182"/>
      <c r="L182"/>
    </row>
    <row r="183" spans="6:12" x14ac:dyDescent="0.3">
      <c r="F183"/>
      <c r="G183"/>
      <c r="H183"/>
      <c r="I183"/>
      <c r="J183"/>
      <c r="K183"/>
      <c r="L183"/>
    </row>
    <row r="184" spans="6:12" x14ac:dyDescent="0.3">
      <c r="F184"/>
      <c r="G184"/>
      <c r="H184"/>
      <c r="I184"/>
      <c r="J184"/>
      <c r="K184"/>
      <c r="L184"/>
    </row>
    <row r="185" spans="6:12" x14ac:dyDescent="0.3">
      <c r="F185"/>
      <c r="G185"/>
      <c r="H185"/>
      <c r="I185"/>
      <c r="J185"/>
      <c r="K185"/>
      <c r="L185"/>
    </row>
    <row r="186" spans="6:12" x14ac:dyDescent="0.3">
      <c r="F186"/>
      <c r="G186"/>
      <c r="H186"/>
      <c r="I186"/>
      <c r="J186"/>
      <c r="K186"/>
      <c r="L186"/>
    </row>
    <row r="187" spans="6:12" x14ac:dyDescent="0.3">
      <c r="F187"/>
      <c r="G187"/>
      <c r="H187"/>
      <c r="I187"/>
      <c r="J187"/>
      <c r="K187"/>
      <c r="L187"/>
    </row>
    <row r="188" spans="6:12" x14ac:dyDescent="0.3">
      <c r="F188"/>
      <c r="G188"/>
      <c r="H188"/>
      <c r="I188"/>
      <c r="J188"/>
      <c r="K188"/>
      <c r="L188"/>
    </row>
    <row r="189" spans="6:12" x14ac:dyDescent="0.3">
      <c r="F189"/>
      <c r="G189"/>
      <c r="H189"/>
      <c r="I189"/>
      <c r="J189"/>
      <c r="K189"/>
      <c r="L189"/>
    </row>
    <row r="190" spans="6:12" x14ac:dyDescent="0.3">
      <c r="F190"/>
      <c r="G190"/>
      <c r="H190"/>
      <c r="I190"/>
      <c r="J190"/>
      <c r="K190"/>
      <c r="L190"/>
    </row>
    <row r="191" spans="6:12" x14ac:dyDescent="0.3">
      <c r="F191"/>
      <c r="G191"/>
      <c r="H191"/>
      <c r="I191"/>
      <c r="J191"/>
      <c r="K191"/>
      <c r="L191"/>
    </row>
    <row r="192" spans="6:12" x14ac:dyDescent="0.3">
      <c r="F192"/>
      <c r="G192"/>
      <c r="H192"/>
      <c r="I192"/>
      <c r="J192"/>
      <c r="K192"/>
      <c r="L192"/>
    </row>
    <row r="193" spans="6:12" x14ac:dyDescent="0.3">
      <c r="F193"/>
      <c r="G193"/>
      <c r="H193"/>
      <c r="I193"/>
      <c r="J193"/>
      <c r="K193"/>
      <c r="L193"/>
    </row>
    <row r="194" spans="6:12" x14ac:dyDescent="0.3">
      <c r="F194"/>
      <c r="G194"/>
      <c r="H194"/>
      <c r="I194"/>
      <c r="J194"/>
      <c r="K194"/>
      <c r="L194"/>
    </row>
    <row r="195" spans="6:12" x14ac:dyDescent="0.3">
      <c r="F195"/>
      <c r="G195"/>
      <c r="H195"/>
      <c r="I195"/>
      <c r="J195"/>
      <c r="K195"/>
      <c r="L195"/>
    </row>
    <row r="196" spans="6:12" x14ac:dyDescent="0.3">
      <c r="F196"/>
      <c r="G196"/>
      <c r="H196"/>
      <c r="I196"/>
      <c r="J196"/>
      <c r="K196"/>
      <c r="L196"/>
    </row>
    <row r="197" spans="6:12" x14ac:dyDescent="0.3">
      <c r="F197"/>
      <c r="G197"/>
      <c r="H197"/>
      <c r="I197"/>
      <c r="J197"/>
      <c r="K197"/>
      <c r="L197"/>
    </row>
    <row r="198" spans="6:12" x14ac:dyDescent="0.3">
      <c r="F198"/>
      <c r="G198"/>
      <c r="H198"/>
      <c r="I198"/>
      <c r="J198"/>
      <c r="K198"/>
      <c r="L198"/>
    </row>
    <row r="199" spans="6:12" x14ac:dyDescent="0.3">
      <c r="F199"/>
      <c r="G199"/>
      <c r="H199"/>
      <c r="I199"/>
      <c r="J199"/>
      <c r="K199"/>
      <c r="L199"/>
    </row>
    <row r="200" spans="6:12" x14ac:dyDescent="0.3">
      <c r="F200"/>
      <c r="G200"/>
      <c r="H200"/>
      <c r="I200"/>
      <c r="J200"/>
      <c r="K200"/>
      <c r="L200"/>
    </row>
    <row r="201" spans="6:12" x14ac:dyDescent="0.3">
      <c r="F201"/>
      <c r="G201"/>
      <c r="H201"/>
      <c r="I201"/>
      <c r="J201"/>
      <c r="K201"/>
      <c r="L201"/>
    </row>
    <row r="202" spans="6:12" x14ac:dyDescent="0.3">
      <c r="F202"/>
      <c r="G202"/>
      <c r="H202"/>
      <c r="I202"/>
      <c r="J202"/>
      <c r="K202"/>
      <c r="L202"/>
    </row>
    <row r="203" spans="6:12" x14ac:dyDescent="0.3">
      <c r="F203"/>
      <c r="G203"/>
      <c r="H203"/>
      <c r="I203"/>
      <c r="J203"/>
      <c r="K203"/>
      <c r="L203"/>
    </row>
    <row r="204" spans="6:12" x14ac:dyDescent="0.3">
      <c r="F204"/>
      <c r="G204"/>
      <c r="H204"/>
      <c r="I204"/>
      <c r="J204"/>
      <c r="K204"/>
      <c r="L204"/>
    </row>
    <row r="205" spans="6:12" x14ac:dyDescent="0.3">
      <c r="F205"/>
      <c r="G205"/>
      <c r="H205"/>
      <c r="I205"/>
      <c r="J205"/>
      <c r="K205"/>
      <c r="L205"/>
    </row>
    <row r="206" spans="6:12" x14ac:dyDescent="0.3">
      <c r="F206"/>
      <c r="G206"/>
      <c r="H206"/>
      <c r="I206"/>
      <c r="J206"/>
      <c r="K206"/>
      <c r="L206"/>
    </row>
    <row r="207" spans="6:12" x14ac:dyDescent="0.3">
      <c r="F207"/>
      <c r="G207"/>
      <c r="H207"/>
      <c r="I207"/>
      <c r="J207"/>
      <c r="K207"/>
      <c r="L207"/>
    </row>
    <row r="208" spans="6:12" x14ac:dyDescent="0.3">
      <c r="F208"/>
      <c r="G208"/>
      <c r="H208"/>
      <c r="I208"/>
      <c r="J208"/>
      <c r="K208"/>
      <c r="L208"/>
    </row>
    <row r="209" spans="6:12" x14ac:dyDescent="0.3">
      <c r="F209"/>
      <c r="G209"/>
      <c r="H209"/>
      <c r="I209"/>
      <c r="J209"/>
      <c r="K209"/>
      <c r="L209"/>
    </row>
    <row r="210" spans="6:12" x14ac:dyDescent="0.3">
      <c r="F210"/>
      <c r="G210"/>
      <c r="H210"/>
      <c r="I210"/>
      <c r="J210"/>
      <c r="K210"/>
      <c r="L210"/>
    </row>
    <row r="211" spans="6:12" x14ac:dyDescent="0.3">
      <c r="F211"/>
      <c r="G211"/>
      <c r="H211"/>
      <c r="I211"/>
      <c r="J211"/>
      <c r="K211"/>
      <c r="L211"/>
    </row>
    <row r="212" spans="6:12" x14ac:dyDescent="0.3">
      <c r="F212"/>
      <c r="G212"/>
      <c r="H212"/>
      <c r="I212"/>
      <c r="J212"/>
      <c r="K212"/>
      <c r="L212"/>
    </row>
    <row r="213" spans="6:12" x14ac:dyDescent="0.3">
      <c r="F213"/>
      <c r="G213"/>
      <c r="H213"/>
      <c r="I213"/>
      <c r="J213"/>
      <c r="K213"/>
      <c r="L213"/>
    </row>
    <row r="214" spans="6:12" x14ac:dyDescent="0.3">
      <c r="F214"/>
      <c r="G214"/>
      <c r="H214"/>
      <c r="I214"/>
      <c r="J214"/>
      <c r="K214"/>
      <c r="L214"/>
    </row>
    <row r="215" spans="6:12" x14ac:dyDescent="0.3">
      <c r="F215"/>
      <c r="G215"/>
      <c r="H215"/>
      <c r="I215"/>
      <c r="J215"/>
      <c r="K215"/>
      <c r="L215"/>
    </row>
    <row r="216" spans="6:12" x14ac:dyDescent="0.3">
      <c r="F216"/>
      <c r="G216"/>
      <c r="H216"/>
      <c r="I216"/>
      <c r="J216"/>
      <c r="K216"/>
      <c r="L216"/>
    </row>
    <row r="217" spans="6:12" x14ac:dyDescent="0.3">
      <c r="F217"/>
      <c r="G217"/>
      <c r="H217"/>
      <c r="I217"/>
      <c r="J217"/>
      <c r="K217"/>
      <c r="L217"/>
    </row>
    <row r="218" spans="6:12" x14ac:dyDescent="0.3">
      <c r="F218"/>
      <c r="G218"/>
      <c r="H218"/>
      <c r="I218"/>
      <c r="J218"/>
      <c r="K218"/>
      <c r="L218"/>
    </row>
    <row r="219" spans="6:12" x14ac:dyDescent="0.3">
      <c r="F219"/>
      <c r="G219"/>
      <c r="H219"/>
      <c r="I219"/>
      <c r="J219"/>
      <c r="K219"/>
      <c r="L219"/>
    </row>
    <row r="220" spans="6:12" x14ac:dyDescent="0.3">
      <c r="F220"/>
      <c r="G220"/>
      <c r="H220"/>
      <c r="I220"/>
      <c r="J220"/>
      <c r="K220"/>
      <c r="L220"/>
    </row>
    <row r="221" spans="6:12" x14ac:dyDescent="0.3">
      <c r="F221"/>
      <c r="G221"/>
      <c r="H221"/>
      <c r="I221"/>
      <c r="J221"/>
      <c r="K221"/>
      <c r="L221"/>
    </row>
    <row r="222" spans="6:12" x14ac:dyDescent="0.3">
      <c r="F222"/>
      <c r="G222"/>
      <c r="H222"/>
      <c r="I222"/>
      <c r="J222"/>
      <c r="K222"/>
      <c r="L222"/>
    </row>
    <row r="223" spans="6:12" x14ac:dyDescent="0.3">
      <c r="F223"/>
      <c r="G223"/>
      <c r="H223"/>
      <c r="I223"/>
      <c r="J223"/>
      <c r="K223"/>
      <c r="L223"/>
    </row>
    <row r="224" spans="6:12" x14ac:dyDescent="0.3">
      <c r="F224"/>
      <c r="G224"/>
      <c r="H224"/>
      <c r="I224"/>
      <c r="J224"/>
      <c r="K224"/>
      <c r="L224"/>
    </row>
    <row r="225" spans="6:12" x14ac:dyDescent="0.3">
      <c r="F225"/>
      <c r="G225"/>
      <c r="H225"/>
      <c r="I225"/>
      <c r="J225"/>
      <c r="K225"/>
      <c r="L225"/>
    </row>
    <row r="226" spans="6:12" x14ac:dyDescent="0.3">
      <c r="F226"/>
      <c r="G226"/>
      <c r="H226"/>
      <c r="I226"/>
      <c r="J226"/>
      <c r="K226"/>
      <c r="L226"/>
    </row>
    <row r="227" spans="6:12" x14ac:dyDescent="0.3">
      <c r="F227"/>
      <c r="G227"/>
      <c r="H227"/>
      <c r="I227"/>
      <c r="J227"/>
      <c r="K227"/>
      <c r="L227"/>
    </row>
    <row r="228" spans="6:12" x14ac:dyDescent="0.3">
      <c r="F228"/>
      <c r="G228"/>
      <c r="H228"/>
      <c r="I228"/>
      <c r="J228"/>
      <c r="K228"/>
      <c r="L228"/>
    </row>
    <row r="229" spans="6:12" x14ac:dyDescent="0.3">
      <c r="F229"/>
      <c r="G229"/>
      <c r="H229"/>
      <c r="I229"/>
      <c r="J229"/>
      <c r="K229"/>
      <c r="L229"/>
    </row>
    <row r="230" spans="6:12" x14ac:dyDescent="0.3">
      <c r="F230"/>
      <c r="G230"/>
      <c r="H230"/>
      <c r="I230"/>
      <c r="J230"/>
      <c r="K230"/>
      <c r="L230"/>
    </row>
    <row r="231" spans="6:12" x14ac:dyDescent="0.3">
      <c r="F231"/>
      <c r="G231"/>
      <c r="H231"/>
      <c r="I231"/>
      <c r="J231"/>
      <c r="K231"/>
      <c r="L231"/>
    </row>
    <row r="232" spans="6:12" x14ac:dyDescent="0.3">
      <c r="F232"/>
      <c r="G232"/>
      <c r="H232"/>
      <c r="I232"/>
      <c r="J232"/>
      <c r="K232"/>
      <c r="L232"/>
    </row>
    <row r="233" spans="6:12" x14ac:dyDescent="0.3">
      <c r="F233"/>
      <c r="G233"/>
      <c r="H233"/>
      <c r="I233"/>
      <c r="J233"/>
      <c r="K233"/>
      <c r="L233"/>
    </row>
    <row r="234" spans="6:12" x14ac:dyDescent="0.3">
      <c r="F234"/>
      <c r="G234"/>
      <c r="H234"/>
      <c r="I234"/>
      <c r="J234"/>
      <c r="K234"/>
      <c r="L234"/>
    </row>
    <row r="235" spans="6:12" x14ac:dyDescent="0.3">
      <c r="F235"/>
      <c r="G235"/>
      <c r="H235"/>
      <c r="I235"/>
      <c r="J235"/>
      <c r="K235"/>
      <c r="L235"/>
    </row>
    <row r="236" spans="6:12" x14ac:dyDescent="0.3">
      <c r="F236"/>
      <c r="G236"/>
      <c r="H236"/>
      <c r="I236"/>
      <c r="J236"/>
      <c r="K236"/>
      <c r="L236"/>
    </row>
    <row r="237" spans="6:12" x14ac:dyDescent="0.3">
      <c r="F237"/>
      <c r="G237"/>
      <c r="H237"/>
      <c r="I237"/>
      <c r="J237"/>
      <c r="K237"/>
      <c r="L237"/>
    </row>
    <row r="238" spans="6:12" x14ac:dyDescent="0.3">
      <c r="F238"/>
      <c r="G238"/>
      <c r="H238"/>
      <c r="I238"/>
      <c r="J238"/>
      <c r="K238"/>
      <c r="L238"/>
    </row>
    <row r="239" spans="6:12" x14ac:dyDescent="0.3">
      <c r="F239"/>
      <c r="G239"/>
      <c r="H239"/>
      <c r="I239"/>
      <c r="J239"/>
      <c r="K239"/>
      <c r="L239"/>
    </row>
    <row r="240" spans="6:12" x14ac:dyDescent="0.3">
      <c r="F240"/>
      <c r="G240"/>
      <c r="H240"/>
      <c r="I240"/>
      <c r="J240"/>
      <c r="K240"/>
      <c r="L240"/>
    </row>
    <row r="241" spans="6:12" x14ac:dyDescent="0.3">
      <c r="F241"/>
      <c r="G241"/>
      <c r="H241"/>
      <c r="I241"/>
      <c r="J241"/>
      <c r="K241"/>
      <c r="L241"/>
    </row>
    <row r="242" spans="6:12" x14ac:dyDescent="0.3">
      <c r="F242"/>
      <c r="G242"/>
      <c r="H242"/>
      <c r="I242"/>
      <c r="J242"/>
      <c r="K242"/>
      <c r="L242"/>
    </row>
    <row r="243" spans="6:12" x14ac:dyDescent="0.3">
      <c r="F243"/>
      <c r="G243"/>
      <c r="H243"/>
      <c r="I243"/>
      <c r="J243"/>
      <c r="K243"/>
      <c r="L243"/>
    </row>
    <row r="244" spans="6:12" x14ac:dyDescent="0.3">
      <c r="F244"/>
      <c r="G244"/>
      <c r="H244"/>
      <c r="I244"/>
      <c r="J244"/>
      <c r="K244"/>
      <c r="L244"/>
    </row>
    <row r="245" spans="6:12" x14ac:dyDescent="0.3">
      <c r="F245"/>
      <c r="G245"/>
      <c r="H245"/>
      <c r="I245"/>
      <c r="J245"/>
      <c r="K245"/>
      <c r="L245"/>
    </row>
    <row r="246" spans="6:12" x14ac:dyDescent="0.3">
      <c r="F246"/>
      <c r="G246"/>
      <c r="H246"/>
      <c r="I246"/>
      <c r="J246"/>
      <c r="K246"/>
      <c r="L246"/>
    </row>
    <row r="247" spans="6:12" x14ac:dyDescent="0.3">
      <c r="F247"/>
      <c r="G247"/>
      <c r="H247"/>
      <c r="I247"/>
      <c r="J247"/>
      <c r="K247"/>
      <c r="L247"/>
    </row>
    <row r="248" spans="6:12" x14ac:dyDescent="0.3">
      <c r="F248"/>
      <c r="G248"/>
      <c r="H248"/>
      <c r="I248"/>
      <c r="J248"/>
      <c r="K248"/>
      <c r="L248"/>
    </row>
    <row r="249" spans="6:12" x14ac:dyDescent="0.3">
      <c r="F249"/>
      <c r="G249"/>
      <c r="H249"/>
      <c r="I249"/>
      <c r="J249"/>
      <c r="K249"/>
      <c r="L249"/>
    </row>
    <row r="250" spans="6:12" x14ac:dyDescent="0.3">
      <c r="F250"/>
      <c r="G250"/>
      <c r="H250"/>
      <c r="I250"/>
      <c r="J250"/>
      <c r="K250"/>
      <c r="L250"/>
    </row>
    <row r="251" spans="6:12" x14ac:dyDescent="0.3">
      <c r="F251"/>
      <c r="G251"/>
      <c r="H251"/>
      <c r="I251"/>
      <c r="J251"/>
      <c r="K251"/>
      <c r="L251"/>
    </row>
    <row r="252" spans="6:12" x14ac:dyDescent="0.3">
      <c r="F252"/>
      <c r="G252"/>
      <c r="H252"/>
      <c r="I252"/>
      <c r="J252"/>
      <c r="K252"/>
      <c r="L252"/>
    </row>
    <row r="253" spans="6:12" x14ac:dyDescent="0.3">
      <c r="F253"/>
      <c r="G253"/>
      <c r="H253"/>
      <c r="I253"/>
      <c r="J253"/>
      <c r="K253"/>
      <c r="L253"/>
    </row>
    <row r="254" spans="6:12" x14ac:dyDescent="0.3">
      <c r="F254"/>
      <c r="G254"/>
      <c r="H254"/>
      <c r="I254"/>
      <c r="J254"/>
      <c r="K254"/>
      <c r="L254"/>
    </row>
    <row r="255" spans="6:12" x14ac:dyDescent="0.3">
      <c r="F255"/>
      <c r="G255"/>
      <c r="H255"/>
      <c r="I255"/>
      <c r="J255"/>
      <c r="K255"/>
      <c r="L255"/>
    </row>
    <row r="256" spans="6:12" x14ac:dyDescent="0.3">
      <c r="F256"/>
      <c r="G256"/>
      <c r="H256"/>
      <c r="I256"/>
      <c r="J256"/>
      <c r="K256"/>
      <c r="L256"/>
    </row>
    <row r="257" spans="6:12" x14ac:dyDescent="0.3">
      <c r="F257"/>
      <c r="G257"/>
      <c r="H257"/>
      <c r="I257"/>
      <c r="J257"/>
      <c r="K257"/>
      <c r="L257"/>
    </row>
    <row r="258" spans="6:12" x14ac:dyDescent="0.3">
      <c r="F258"/>
      <c r="G258"/>
      <c r="H258"/>
      <c r="I258"/>
      <c r="J258"/>
      <c r="K258"/>
      <c r="L258"/>
    </row>
    <row r="259" spans="6:12" x14ac:dyDescent="0.3">
      <c r="F259"/>
      <c r="G259"/>
      <c r="H259"/>
      <c r="I259"/>
      <c r="J259"/>
      <c r="K259"/>
      <c r="L259"/>
    </row>
    <row r="260" spans="6:12" x14ac:dyDescent="0.3">
      <c r="F260"/>
      <c r="G260"/>
      <c r="H260"/>
      <c r="I260"/>
      <c r="J260"/>
      <c r="K260"/>
      <c r="L260"/>
    </row>
    <row r="261" spans="6:12" x14ac:dyDescent="0.3">
      <c r="F261"/>
      <c r="G261"/>
      <c r="H261"/>
      <c r="I261"/>
      <c r="J261"/>
      <c r="K261"/>
      <c r="L261"/>
    </row>
    <row r="262" spans="6:12" x14ac:dyDescent="0.3">
      <c r="F262"/>
      <c r="G262"/>
      <c r="H262"/>
      <c r="I262"/>
      <c r="J262"/>
      <c r="K262"/>
      <c r="L262"/>
    </row>
    <row r="263" spans="6:12" x14ac:dyDescent="0.3">
      <c r="F263"/>
      <c r="G263"/>
      <c r="H263"/>
      <c r="I263"/>
      <c r="J263"/>
      <c r="K263"/>
      <c r="L263"/>
    </row>
    <row r="264" spans="6:12" x14ac:dyDescent="0.3">
      <c r="F264"/>
      <c r="G264"/>
      <c r="H264"/>
      <c r="I264"/>
      <c r="J264"/>
      <c r="K264"/>
      <c r="L264"/>
    </row>
    <row r="265" spans="6:12" x14ac:dyDescent="0.3">
      <c r="F265"/>
      <c r="G265"/>
      <c r="H265"/>
      <c r="I265"/>
      <c r="J265"/>
      <c r="K265"/>
      <c r="L265"/>
    </row>
    <row r="266" spans="6:12" x14ac:dyDescent="0.3">
      <c r="F266"/>
      <c r="G266"/>
      <c r="H266"/>
      <c r="I266"/>
      <c r="J266"/>
      <c r="K266"/>
      <c r="L266"/>
    </row>
    <row r="267" spans="6:12" x14ac:dyDescent="0.3">
      <c r="F267"/>
      <c r="G267"/>
      <c r="H267"/>
      <c r="I267"/>
      <c r="J267"/>
      <c r="K267"/>
      <c r="L267"/>
    </row>
    <row r="268" spans="6:12" x14ac:dyDescent="0.3">
      <c r="F268"/>
      <c r="G268"/>
      <c r="H268"/>
      <c r="I268"/>
      <c r="J268"/>
      <c r="K268"/>
      <c r="L268"/>
    </row>
    <row r="269" spans="6:12" x14ac:dyDescent="0.3">
      <c r="F269"/>
      <c r="G269"/>
      <c r="H269"/>
      <c r="I269"/>
      <c r="J269"/>
      <c r="K269"/>
      <c r="L269"/>
    </row>
    <row r="270" spans="6:12" x14ac:dyDescent="0.3">
      <c r="F270"/>
      <c r="G270"/>
      <c r="H270"/>
      <c r="I270"/>
      <c r="J270"/>
      <c r="K270"/>
      <c r="L270"/>
    </row>
    <row r="271" spans="6:12" x14ac:dyDescent="0.3">
      <c r="F271"/>
      <c r="G271"/>
      <c r="H271"/>
      <c r="I271"/>
      <c r="J271"/>
      <c r="K271"/>
      <c r="L271"/>
    </row>
    <row r="272" spans="6:12" x14ac:dyDescent="0.3">
      <c r="F272"/>
      <c r="G272"/>
      <c r="H272"/>
      <c r="I272"/>
      <c r="J272"/>
      <c r="K272"/>
      <c r="L272"/>
    </row>
    <row r="273" spans="6:12" x14ac:dyDescent="0.3">
      <c r="F273"/>
      <c r="G273"/>
      <c r="H273"/>
      <c r="I273"/>
      <c r="J273"/>
      <c r="K273"/>
      <c r="L273"/>
    </row>
    <row r="274" spans="6:12" x14ac:dyDescent="0.3">
      <c r="F274"/>
      <c r="G274"/>
      <c r="H274"/>
      <c r="I274"/>
      <c r="J274"/>
      <c r="K274"/>
      <c r="L274"/>
    </row>
    <row r="275" spans="6:12" x14ac:dyDescent="0.3">
      <c r="F275"/>
      <c r="G275"/>
      <c r="H275"/>
      <c r="I275"/>
      <c r="J275"/>
      <c r="K275"/>
      <c r="L275"/>
    </row>
    <row r="276" spans="6:12" x14ac:dyDescent="0.3">
      <c r="F276"/>
      <c r="G276"/>
      <c r="H276"/>
      <c r="I276"/>
      <c r="J276"/>
      <c r="K276"/>
      <c r="L276"/>
    </row>
    <row r="277" spans="6:12" x14ac:dyDescent="0.3">
      <c r="F277"/>
      <c r="G277"/>
      <c r="H277"/>
      <c r="I277"/>
      <c r="J277"/>
      <c r="K277"/>
      <c r="L277"/>
    </row>
    <row r="278" spans="6:12" x14ac:dyDescent="0.3">
      <c r="F278"/>
      <c r="G278"/>
      <c r="H278"/>
      <c r="I278"/>
      <c r="J278"/>
      <c r="K278"/>
      <c r="L278"/>
    </row>
    <row r="279" spans="6:12" x14ac:dyDescent="0.3">
      <c r="F279"/>
      <c r="G279"/>
      <c r="H279"/>
      <c r="I279"/>
      <c r="J279"/>
      <c r="K279"/>
      <c r="L279"/>
    </row>
    <row r="280" spans="6:12" x14ac:dyDescent="0.3">
      <c r="F280"/>
      <c r="G280"/>
      <c r="H280"/>
      <c r="I280"/>
      <c r="J280"/>
      <c r="K280"/>
      <c r="L280"/>
    </row>
    <row r="281" spans="6:12" x14ac:dyDescent="0.3">
      <c r="F281"/>
      <c r="G281"/>
      <c r="H281"/>
      <c r="I281"/>
      <c r="J281"/>
      <c r="K281"/>
      <c r="L281"/>
    </row>
    <row r="282" spans="6:12" x14ac:dyDescent="0.3">
      <c r="F282"/>
      <c r="G282"/>
      <c r="H282"/>
      <c r="I282"/>
      <c r="J282"/>
      <c r="K282"/>
      <c r="L282"/>
    </row>
    <row r="283" spans="6:12" x14ac:dyDescent="0.3">
      <c r="F283"/>
      <c r="G283"/>
      <c r="H283"/>
      <c r="I283"/>
      <c r="J283"/>
      <c r="K283"/>
      <c r="L283"/>
    </row>
    <row r="284" spans="6:12" x14ac:dyDescent="0.3">
      <c r="F284"/>
      <c r="G284"/>
      <c r="H284"/>
      <c r="I284"/>
      <c r="J284"/>
      <c r="K284"/>
      <c r="L284"/>
    </row>
    <row r="285" spans="6:12" x14ac:dyDescent="0.3">
      <c r="F285"/>
      <c r="G285"/>
      <c r="H285"/>
      <c r="I285"/>
      <c r="J285"/>
      <c r="K285"/>
      <c r="L285"/>
    </row>
    <row r="286" spans="6:12" x14ac:dyDescent="0.3">
      <c r="F286"/>
      <c r="G286"/>
      <c r="H286"/>
      <c r="I286"/>
      <c r="J286"/>
      <c r="K286"/>
      <c r="L286"/>
    </row>
    <row r="287" spans="6:12" x14ac:dyDescent="0.3">
      <c r="F287"/>
      <c r="G287"/>
      <c r="H287"/>
      <c r="I287"/>
      <c r="J287"/>
      <c r="K287"/>
      <c r="L287"/>
    </row>
    <row r="288" spans="6:12" x14ac:dyDescent="0.3">
      <c r="F288"/>
      <c r="G288"/>
      <c r="H288"/>
      <c r="I288"/>
      <c r="J288"/>
      <c r="K288"/>
      <c r="L288"/>
    </row>
    <row r="289" spans="6:12" x14ac:dyDescent="0.3">
      <c r="F289"/>
      <c r="G289"/>
      <c r="H289"/>
      <c r="I289"/>
      <c r="J289"/>
      <c r="K289"/>
      <c r="L289"/>
    </row>
    <row r="290" spans="6:12" x14ac:dyDescent="0.3">
      <c r="F290"/>
      <c r="G290"/>
      <c r="H290"/>
      <c r="I290"/>
      <c r="J290"/>
      <c r="K290"/>
      <c r="L290"/>
    </row>
    <row r="291" spans="6:12" x14ac:dyDescent="0.3">
      <c r="F291"/>
      <c r="G291"/>
      <c r="H291"/>
      <c r="I291"/>
      <c r="J291"/>
      <c r="K291"/>
      <c r="L291"/>
    </row>
    <row r="292" spans="6:12" x14ac:dyDescent="0.3">
      <c r="F292"/>
      <c r="G292"/>
      <c r="H292"/>
      <c r="I292"/>
      <c r="J292"/>
      <c r="K292"/>
      <c r="L292"/>
    </row>
    <row r="293" spans="6:12" x14ac:dyDescent="0.3">
      <c r="F293"/>
      <c r="G293"/>
      <c r="H293"/>
      <c r="I293"/>
      <c r="J293"/>
      <c r="K293"/>
      <c r="L293"/>
    </row>
    <row r="294" spans="6:12" x14ac:dyDescent="0.3">
      <c r="F294"/>
      <c r="G294"/>
      <c r="H294"/>
      <c r="I294"/>
      <c r="J294"/>
      <c r="K294"/>
      <c r="L294"/>
    </row>
    <row r="295" spans="6:12" x14ac:dyDescent="0.3">
      <c r="F295"/>
      <c r="G295"/>
      <c r="H295"/>
      <c r="I295"/>
      <c r="J295"/>
      <c r="K295"/>
      <c r="L295"/>
    </row>
    <row r="296" spans="6:12" x14ac:dyDescent="0.3">
      <c r="F296"/>
      <c r="G296"/>
      <c r="H296"/>
      <c r="I296"/>
      <c r="J296"/>
      <c r="K296"/>
      <c r="L296"/>
    </row>
    <row r="297" spans="6:12" x14ac:dyDescent="0.3">
      <c r="F297"/>
      <c r="G297"/>
      <c r="H297"/>
      <c r="I297"/>
      <c r="J297"/>
      <c r="K297"/>
      <c r="L297"/>
    </row>
    <row r="298" spans="6:12" x14ac:dyDescent="0.3">
      <c r="F298"/>
      <c r="G298"/>
      <c r="H298"/>
      <c r="I298"/>
      <c r="J298"/>
      <c r="K298"/>
      <c r="L298"/>
    </row>
    <row r="299" spans="6:12" x14ac:dyDescent="0.3">
      <c r="F299"/>
      <c r="G299"/>
      <c r="H299"/>
      <c r="I299"/>
      <c r="J299"/>
      <c r="K299"/>
      <c r="L299"/>
    </row>
    <row r="300" spans="6:12" x14ac:dyDescent="0.3">
      <c r="F300"/>
      <c r="G300"/>
      <c r="H300"/>
      <c r="I300"/>
      <c r="J300"/>
      <c r="K300"/>
      <c r="L300"/>
    </row>
    <row r="301" spans="6:12" x14ac:dyDescent="0.3">
      <c r="F301"/>
      <c r="G301"/>
      <c r="H301"/>
      <c r="I301"/>
      <c r="J301"/>
      <c r="K301"/>
      <c r="L301"/>
    </row>
    <row r="302" spans="6:12" x14ac:dyDescent="0.3">
      <c r="F302"/>
      <c r="G302"/>
      <c r="H302"/>
      <c r="I302"/>
      <c r="J302"/>
      <c r="K302"/>
      <c r="L302"/>
    </row>
    <row r="303" spans="6:12" x14ac:dyDescent="0.3">
      <c r="F303"/>
      <c r="G303"/>
      <c r="H303"/>
      <c r="I303"/>
      <c r="J303"/>
      <c r="K303"/>
      <c r="L303"/>
    </row>
    <row r="304" spans="6:12" x14ac:dyDescent="0.3">
      <c r="F304"/>
      <c r="G304"/>
      <c r="H304"/>
      <c r="I304"/>
      <c r="J304"/>
      <c r="K304"/>
      <c r="L304"/>
    </row>
    <row r="305" spans="1:28" x14ac:dyDescent="0.3">
      <c r="F305"/>
      <c r="G305"/>
      <c r="H305"/>
      <c r="I305"/>
      <c r="J305"/>
      <c r="K305"/>
      <c r="L305"/>
    </row>
    <row r="306" spans="1:28" x14ac:dyDescent="0.3">
      <c r="F306"/>
      <c r="G306"/>
      <c r="H306"/>
      <c r="I306"/>
      <c r="J306"/>
      <c r="K306"/>
      <c r="L306"/>
    </row>
    <row r="307" spans="1:28" x14ac:dyDescent="0.3">
      <c r="F307"/>
      <c r="G307"/>
      <c r="H307"/>
      <c r="I307"/>
      <c r="J307"/>
      <c r="K307"/>
      <c r="L307"/>
    </row>
    <row r="308" spans="1:28" x14ac:dyDescent="0.3">
      <c r="F308"/>
      <c r="G308"/>
      <c r="H308"/>
      <c r="I308"/>
      <c r="J308"/>
      <c r="K308"/>
      <c r="L308"/>
    </row>
    <row r="309" spans="1:28" x14ac:dyDescent="0.3">
      <c r="F309"/>
      <c r="G309"/>
      <c r="H309"/>
      <c r="I309"/>
      <c r="J309"/>
      <c r="K309"/>
      <c r="L309"/>
    </row>
    <row r="310" spans="1:28" x14ac:dyDescent="0.3">
      <c r="F310"/>
      <c r="G310"/>
      <c r="H310"/>
      <c r="I310"/>
      <c r="J310"/>
      <c r="K310"/>
      <c r="L310"/>
    </row>
    <row r="311" spans="1:28" x14ac:dyDescent="0.3">
      <c r="A311" s="4" t="s">
        <v>24</v>
      </c>
      <c r="B311" s="4" t="s">
        <v>24</v>
      </c>
      <c r="C311" s="4" t="s">
        <v>24</v>
      </c>
      <c r="D311" s="4" t="s">
        <v>24</v>
      </c>
      <c r="E311" s="4" t="s">
        <v>24</v>
      </c>
      <c r="F311" s="4" t="s">
        <v>24</v>
      </c>
      <c r="G311" s="4" t="s">
        <v>24</v>
      </c>
      <c r="H311" s="4" t="s">
        <v>24</v>
      </c>
      <c r="I311" s="4" t="s">
        <v>24</v>
      </c>
      <c r="J311" s="4" t="s">
        <v>24</v>
      </c>
      <c r="K311" s="4" t="s">
        <v>24</v>
      </c>
      <c r="L311" s="4" t="s">
        <v>24</v>
      </c>
      <c r="O311" t="s">
        <v>24</v>
      </c>
      <c r="P311" t="s">
        <v>24</v>
      </c>
      <c r="Q311" t="s">
        <v>24</v>
      </c>
      <c r="R311" t="s">
        <v>24</v>
      </c>
      <c r="S311" t="s">
        <v>24</v>
      </c>
      <c r="T311" t="s">
        <v>24</v>
      </c>
      <c r="U311" t="s">
        <v>24</v>
      </c>
      <c r="V311" t="s">
        <v>24</v>
      </c>
      <c r="W311" t="s">
        <v>24</v>
      </c>
      <c r="X311" t="s">
        <v>24</v>
      </c>
      <c r="Y311" t="s">
        <v>24</v>
      </c>
      <c r="Z311" t="s">
        <v>24</v>
      </c>
      <c r="AA311" t="s">
        <v>24</v>
      </c>
      <c r="AB311" t="s">
        <v>24</v>
      </c>
    </row>
  </sheetData>
  <sortState xmlns:xlrd2="http://schemas.microsoft.com/office/spreadsheetml/2017/richdata2" ref="A11:L310">
    <sortCondition ref="A10"/>
  </sortState>
  <pageMargins left="0.5" right="0.5" top="0.5" bottom="0.5" header="0.3" footer="0.3"/>
  <pageSetup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51AA-DBEE-48B5-AFC7-A4BCDD7EA7F2}">
  <sheetPr codeName="Sheet3"/>
  <dimension ref="A1:P26"/>
  <sheetViews>
    <sheetView topLeftCell="A6" zoomScale="70" zoomScaleNormal="70" workbookViewId="0">
      <selection activeCell="A6" sqref="A6"/>
    </sheetView>
  </sheetViews>
  <sheetFormatPr defaultRowHeight="14.4" x14ac:dyDescent="0.3"/>
  <cols>
    <col min="1" max="1" width="6.6640625" bestFit="1" customWidth="1"/>
    <col min="2" max="2" width="3.77734375" customWidth="1"/>
    <col min="3" max="3" width="8.109375" bestFit="1" customWidth="1"/>
    <col min="4" max="4" width="3.77734375" customWidth="1"/>
    <col min="5" max="10" width="10.77734375" customWidth="1"/>
    <col min="11" max="11" width="3.77734375" customWidth="1"/>
    <col min="12" max="12" width="8.6640625" bestFit="1" customWidth="1"/>
    <col min="13" max="13" width="19.109375" bestFit="1" customWidth="1"/>
    <col min="14" max="14" width="3.77734375" customWidth="1"/>
    <col min="15" max="15" width="9.77734375" customWidth="1"/>
  </cols>
  <sheetData>
    <row r="1" spans="1:16" hidden="1" x14ac:dyDescent="0.3"/>
    <row r="2" spans="1:16" hidden="1" x14ac:dyDescent="0.3"/>
    <row r="3" spans="1:16" hidden="1" x14ac:dyDescent="0.3"/>
    <row r="4" spans="1:16" hidden="1" x14ac:dyDescent="0.3"/>
    <row r="5" spans="1:16" hidden="1" x14ac:dyDescent="0.3"/>
    <row r="6" spans="1:16" x14ac:dyDescent="0.3">
      <c r="A6" t="s">
        <v>297</v>
      </c>
    </row>
    <row r="8" spans="1:16" ht="15" thickBot="1" x14ac:dyDescent="0.35">
      <c r="A8" t="s">
        <v>17</v>
      </c>
      <c r="E8" t="s">
        <v>18</v>
      </c>
    </row>
    <row r="9" spans="1:16" ht="15.6" thickTop="1" thickBot="1" x14ac:dyDescent="0.35">
      <c r="A9" t="s">
        <v>265</v>
      </c>
      <c r="C9" s="15">
        <v>1</v>
      </c>
      <c r="E9" s="2" t="s">
        <v>19</v>
      </c>
      <c r="F9" t="s">
        <v>20</v>
      </c>
      <c r="G9" t="s">
        <v>21</v>
      </c>
      <c r="H9" t="s">
        <v>22</v>
      </c>
      <c r="I9" t="s">
        <v>23</v>
      </c>
    </row>
    <row r="10" spans="1:16" s="3" customFormat="1" ht="44.4" thickTop="1" thickBot="1" x14ac:dyDescent="0.35">
      <c r="A10" s="14" t="s">
        <v>1</v>
      </c>
      <c r="B10" s="7"/>
      <c r="C10" s="17" t="s">
        <v>268</v>
      </c>
      <c r="D10" s="7"/>
      <c r="E10" s="48" t="s">
        <v>4</v>
      </c>
      <c r="F10" s="49" t="s">
        <v>7</v>
      </c>
      <c r="G10" s="49" t="s">
        <v>10</v>
      </c>
      <c r="H10" s="49" t="s">
        <v>11</v>
      </c>
      <c r="I10" s="49" t="s">
        <v>12</v>
      </c>
      <c r="L10" s="7" t="s">
        <v>269</v>
      </c>
      <c r="M10" s="7" t="s">
        <v>271</v>
      </c>
      <c r="O10" s="7" t="s">
        <v>270</v>
      </c>
      <c r="P10" s="7" t="s">
        <v>93</v>
      </c>
    </row>
    <row r="11" spans="1:16" x14ac:dyDescent="0.3">
      <c r="A11" s="5">
        <v>1</v>
      </c>
      <c r="C11" s="10">
        <f>IF(AND(C9&lt;6, C9&gt;0), INDEX(E11:I11, 1, $C$9), INDEX(E11:I11, 1, 1))</f>
        <v>1</v>
      </c>
      <c r="D11" s="47"/>
      <c r="E11" s="31">
        <v>1</v>
      </c>
      <c r="F11" s="51">
        <v>16</v>
      </c>
      <c r="G11" s="53"/>
      <c r="H11" s="51">
        <v>11</v>
      </c>
      <c r="I11" s="32">
        <v>6</v>
      </c>
      <c r="L11" s="12">
        <f ca="1">SUM($E11:I11)/(5-SUM(COUNTIF($E11:I11, ""))) + RAND()/1000</f>
        <v>8.5001935454514985</v>
      </c>
      <c r="M11">
        <f t="shared" ref="M11:M26" ca="1" si="0">_xlfn.RANK.EQ(L11,$L$11:$L$26)</f>
        <v>16</v>
      </c>
      <c r="O11" s="13">
        <f t="shared" ref="O11:O26" ca="1" si="1">RAND()</f>
        <v>0.16152347685095003</v>
      </c>
      <c r="P11">
        <f t="shared" ref="P11:P26" ca="1" si="2">_xlfn.RANK.EQ(O11,$O$11:$O$26)</f>
        <v>12</v>
      </c>
    </row>
    <row r="12" spans="1:16" x14ac:dyDescent="0.3">
      <c r="A12" s="5">
        <v>2</v>
      </c>
      <c r="C12">
        <f t="shared" ref="C12:C26" si="3">IF(AND(C10&lt;6, C10&gt;0), INDEX(E12:I12, 1, $C$9), INDEX(E12:I12, 1, 1))</f>
        <v>10</v>
      </c>
      <c r="D12" s="34"/>
      <c r="E12" s="33">
        <v>10</v>
      </c>
      <c r="F12">
        <v>7</v>
      </c>
      <c r="G12" s="54"/>
      <c r="H12">
        <v>7</v>
      </c>
      <c r="I12" s="34">
        <v>10</v>
      </c>
      <c r="L12" s="12">
        <f ca="1">SUM($E12:I12)/(5-SUM(COUNTIF($E12:I12, ""))) + RAND()/1000</f>
        <v>8.5002465688250677</v>
      </c>
      <c r="M12">
        <f t="shared" ca="1" si="0"/>
        <v>15</v>
      </c>
      <c r="O12" s="13">
        <f t="shared" ca="1" si="1"/>
        <v>0.78851481533385714</v>
      </c>
      <c r="P12">
        <f t="shared" ca="1" si="2"/>
        <v>4</v>
      </c>
    </row>
    <row r="13" spans="1:16" x14ac:dyDescent="0.3">
      <c r="A13" s="5">
        <v>3</v>
      </c>
      <c r="C13">
        <f t="shared" si="3"/>
        <v>16</v>
      </c>
      <c r="D13" s="34"/>
      <c r="E13" s="33">
        <v>16</v>
      </c>
      <c r="F13">
        <v>1</v>
      </c>
      <c r="G13" s="54"/>
      <c r="H13">
        <v>5</v>
      </c>
      <c r="I13" s="34">
        <v>12</v>
      </c>
      <c r="L13" s="12">
        <f ca="1">SUM($E13:I13)/(5-SUM(COUNTIF($E13:I13, ""))) + RAND()/1000</f>
        <v>8.5008438854709674</v>
      </c>
      <c r="M13">
        <f t="shared" ca="1" si="0"/>
        <v>1</v>
      </c>
      <c r="O13" s="13">
        <f t="shared" ca="1" si="1"/>
        <v>0.10073783518901125</v>
      </c>
      <c r="P13">
        <f t="shared" ca="1" si="2"/>
        <v>14</v>
      </c>
    </row>
    <row r="14" spans="1:16" x14ac:dyDescent="0.3">
      <c r="A14" s="5">
        <v>4</v>
      </c>
      <c r="C14">
        <f t="shared" si="3"/>
        <v>14</v>
      </c>
      <c r="D14" s="34"/>
      <c r="E14" s="33">
        <v>14</v>
      </c>
      <c r="F14">
        <v>3</v>
      </c>
      <c r="G14" s="54"/>
      <c r="H14">
        <v>8</v>
      </c>
      <c r="I14" s="34">
        <v>9</v>
      </c>
      <c r="L14" s="12">
        <f ca="1">SUM($E14:I14)/(5-SUM(COUNTIF($E14:I14, ""))) + RAND()/1000</f>
        <v>8.5006122024724817</v>
      </c>
      <c r="M14">
        <f t="shared" ca="1" si="0"/>
        <v>8</v>
      </c>
      <c r="O14" s="13">
        <f t="shared" ca="1" si="1"/>
        <v>7.4559097962589194E-2</v>
      </c>
      <c r="P14">
        <f t="shared" ca="1" si="2"/>
        <v>15</v>
      </c>
    </row>
    <row r="15" spans="1:16" x14ac:dyDescent="0.3">
      <c r="A15" s="5">
        <v>5</v>
      </c>
      <c r="C15">
        <f t="shared" si="3"/>
        <v>4</v>
      </c>
      <c r="D15" s="34"/>
      <c r="E15" s="33">
        <v>4</v>
      </c>
      <c r="F15">
        <v>13</v>
      </c>
      <c r="G15" s="54"/>
      <c r="H15">
        <v>6</v>
      </c>
      <c r="I15" s="34">
        <v>11</v>
      </c>
      <c r="L15" s="12">
        <f ca="1">SUM($E15:I15)/(5-SUM(COUNTIF($E15:I15, ""))) + RAND()/1000</f>
        <v>8.5007412334018788</v>
      </c>
      <c r="M15">
        <f t="shared" ca="1" si="0"/>
        <v>2</v>
      </c>
      <c r="O15" s="13">
        <f t="shared" ca="1" si="1"/>
        <v>0.28192752652687503</v>
      </c>
      <c r="P15">
        <f t="shared" ca="1" si="2"/>
        <v>9</v>
      </c>
    </row>
    <row r="16" spans="1:16" x14ac:dyDescent="0.3">
      <c r="A16" s="5">
        <v>6</v>
      </c>
      <c r="C16">
        <f t="shared" si="3"/>
        <v>13</v>
      </c>
      <c r="D16" s="34"/>
      <c r="E16" s="33">
        <v>13</v>
      </c>
      <c r="F16">
        <v>4</v>
      </c>
      <c r="G16" s="54"/>
      <c r="H16">
        <v>14</v>
      </c>
      <c r="I16" s="34">
        <v>3</v>
      </c>
      <c r="L16" s="12">
        <f ca="1">SUM($E16:I16)/(5-SUM(COUNTIF($E16:I16, ""))) + RAND()/1000</f>
        <v>8.500632207155439</v>
      </c>
      <c r="M16">
        <f t="shared" ca="1" si="0"/>
        <v>7</v>
      </c>
      <c r="O16" s="13">
        <f t="shared" ca="1" si="1"/>
        <v>0.13765114351077312</v>
      </c>
      <c r="P16">
        <f t="shared" ca="1" si="2"/>
        <v>13</v>
      </c>
    </row>
    <row r="17" spans="1:16" x14ac:dyDescent="0.3">
      <c r="A17" s="5">
        <v>7</v>
      </c>
      <c r="C17">
        <f t="shared" si="3"/>
        <v>9</v>
      </c>
      <c r="D17" s="34"/>
      <c r="E17" s="33">
        <v>9</v>
      </c>
      <c r="F17">
        <v>8</v>
      </c>
      <c r="G17" s="54"/>
      <c r="H17">
        <v>2</v>
      </c>
      <c r="I17" s="34">
        <v>15</v>
      </c>
      <c r="L17" s="12">
        <f ca="1">SUM($E17:I17)/(5-SUM(COUNTIF($E17:I17, ""))) + RAND()/1000</f>
        <v>8.5004297699656952</v>
      </c>
      <c r="M17">
        <f t="shared" ca="1" si="0"/>
        <v>11</v>
      </c>
      <c r="O17" s="13">
        <f t="shared" ca="1" si="1"/>
        <v>0.26014974599448837</v>
      </c>
      <c r="P17">
        <f t="shared" ca="1" si="2"/>
        <v>10</v>
      </c>
    </row>
    <row r="18" spans="1:16" x14ac:dyDescent="0.3">
      <c r="A18" s="5">
        <v>8</v>
      </c>
      <c r="C18">
        <f t="shared" si="3"/>
        <v>2</v>
      </c>
      <c r="D18" s="34"/>
      <c r="E18" s="33">
        <v>2</v>
      </c>
      <c r="F18">
        <v>15</v>
      </c>
      <c r="G18" s="54"/>
      <c r="H18">
        <v>1</v>
      </c>
      <c r="I18" s="34">
        <v>16</v>
      </c>
      <c r="L18" s="12">
        <f ca="1">SUM($E18:I18)/(5-SUM(COUNTIF($E18:I18, ""))) + RAND()/1000</f>
        <v>8.500579091819052</v>
      </c>
      <c r="M18">
        <f t="shared" ca="1" si="0"/>
        <v>9</v>
      </c>
      <c r="O18" s="13">
        <f t="shared" ca="1" si="1"/>
        <v>0.75931125934370047</v>
      </c>
      <c r="P18">
        <f t="shared" ca="1" si="2"/>
        <v>5</v>
      </c>
    </row>
    <row r="19" spans="1:16" x14ac:dyDescent="0.3">
      <c r="A19" s="5">
        <v>11</v>
      </c>
      <c r="C19">
        <f t="shared" si="3"/>
        <v>15</v>
      </c>
      <c r="D19" s="34"/>
      <c r="E19" s="33">
        <v>15</v>
      </c>
      <c r="F19">
        <v>2</v>
      </c>
      <c r="G19" s="54"/>
      <c r="H19">
        <v>12</v>
      </c>
      <c r="I19" s="34">
        <v>5</v>
      </c>
      <c r="L19" s="12">
        <f ca="1">SUM($E19:I19)/(5-SUM(COUNTIF($E19:I19, ""))) + RAND()/1000</f>
        <v>8.5003192203543936</v>
      </c>
      <c r="M19">
        <f t="shared" ca="1" si="0"/>
        <v>14</v>
      </c>
      <c r="O19" s="13">
        <f t="shared" ca="1" si="1"/>
        <v>0.83970798014995718</v>
      </c>
      <c r="P19">
        <f t="shared" ca="1" si="2"/>
        <v>3</v>
      </c>
    </row>
    <row r="20" spans="1:16" x14ac:dyDescent="0.3">
      <c r="A20" s="5">
        <v>12</v>
      </c>
      <c r="C20">
        <f t="shared" si="3"/>
        <v>11</v>
      </c>
      <c r="D20" s="34"/>
      <c r="E20" s="33">
        <v>11</v>
      </c>
      <c r="F20">
        <v>6</v>
      </c>
      <c r="G20" s="54"/>
      <c r="H20">
        <v>3</v>
      </c>
      <c r="I20" s="34">
        <v>14</v>
      </c>
      <c r="L20" s="12">
        <f ca="1">SUM($E20:I20)/(5-SUM(COUNTIF($E20:I20, ""))) + RAND()/1000</f>
        <v>8.5006781763347377</v>
      </c>
      <c r="M20">
        <f t="shared" ca="1" si="0"/>
        <v>5</v>
      </c>
      <c r="O20" s="13">
        <f t="shared" ca="1" si="1"/>
        <v>0.99563327656346479</v>
      </c>
      <c r="P20">
        <f t="shared" ca="1" si="2"/>
        <v>1</v>
      </c>
    </row>
    <row r="21" spans="1:16" x14ac:dyDescent="0.3">
      <c r="A21" s="5">
        <v>13</v>
      </c>
      <c r="C21">
        <f t="shared" si="3"/>
        <v>5</v>
      </c>
      <c r="D21" s="34"/>
      <c r="E21" s="33">
        <v>5</v>
      </c>
      <c r="F21">
        <v>12</v>
      </c>
      <c r="G21" s="54"/>
      <c r="H21">
        <v>13</v>
      </c>
      <c r="I21" s="34">
        <v>4</v>
      </c>
      <c r="L21" s="12">
        <f ca="1">SUM($E21:I21)/(5-SUM(COUNTIF($E21:I21, ""))) + RAND()/1000</f>
        <v>8.5006613561096387</v>
      </c>
      <c r="M21">
        <f t="shared" ca="1" si="0"/>
        <v>6</v>
      </c>
      <c r="O21" s="13">
        <f t="shared" ca="1" si="1"/>
        <v>1.9842797268897816E-2</v>
      </c>
      <c r="P21">
        <f t="shared" ca="1" si="2"/>
        <v>16</v>
      </c>
    </row>
    <row r="22" spans="1:16" x14ac:dyDescent="0.3">
      <c r="A22" s="5">
        <v>14</v>
      </c>
      <c r="C22">
        <f t="shared" si="3"/>
        <v>12</v>
      </c>
      <c r="D22" s="34"/>
      <c r="E22" s="33">
        <v>12</v>
      </c>
      <c r="F22">
        <v>5</v>
      </c>
      <c r="G22" s="54"/>
      <c r="H22">
        <v>16</v>
      </c>
      <c r="I22" s="34">
        <v>1</v>
      </c>
      <c r="L22" s="12">
        <f ca="1">SUM($E22:I22)/(5-SUM(COUNTIF($E22:I22, ""))) + RAND()/1000</f>
        <v>8.5006974577320911</v>
      </c>
      <c r="M22">
        <f t="shared" ca="1" si="0"/>
        <v>4</v>
      </c>
      <c r="O22" s="13">
        <f t="shared" ca="1" si="1"/>
        <v>0.61630693913291645</v>
      </c>
      <c r="P22">
        <f t="shared" ca="1" si="2"/>
        <v>6</v>
      </c>
    </row>
    <row r="23" spans="1:16" x14ac:dyDescent="0.3">
      <c r="A23" s="5">
        <v>15</v>
      </c>
      <c r="C23">
        <f t="shared" si="3"/>
        <v>6</v>
      </c>
      <c r="D23" s="34"/>
      <c r="E23" s="33">
        <v>6</v>
      </c>
      <c r="F23">
        <v>11</v>
      </c>
      <c r="G23" s="54"/>
      <c r="H23">
        <v>10</v>
      </c>
      <c r="I23" s="34">
        <v>7</v>
      </c>
      <c r="L23" s="12">
        <f ca="1">SUM($E23:I23)/(5-SUM(COUNTIF($E23:I23, ""))) + RAND()/1000</f>
        <v>8.5004124108367147</v>
      </c>
      <c r="M23">
        <f t="shared" ca="1" si="0"/>
        <v>13</v>
      </c>
      <c r="O23" s="13">
        <f t="shared" ca="1" si="1"/>
        <v>0.85052113303667942</v>
      </c>
      <c r="P23">
        <f t="shared" ca="1" si="2"/>
        <v>2</v>
      </c>
    </row>
    <row r="24" spans="1:16" x14ac:dyDescent="0.3">
      <c r="A24" s="5">
        <v>16</v>
      </c>
      <c r="C24">
        <f t="shared" si="3"/>
        <v>8</v>
      </c>
      <c r="D24" s="34"/>
      <c r="E24" s="33">
        <v>8</v>
      </c>
      <c r="F24">
        <v>9</v>
      </c>
      <c r="G24" s="54"/>
      <c r="H24">
        <v>4</v>
      </c>
      <c r="I24" s="34">
        <v>13</v>
      </c>
      <c r="L24" s="12">
        <f ca="1">SUM($E24:I24)/(5-SUM(COUNTIF($E24:I24, ""))) + RAND()/1000</f>
        <v>8.5005304945208309</v>
      </c>
      <c r="M24">
        <f t="shared" ca="1" si="0"/>
        <v>10</v>
      </c>
      <c r="O24" s="13">
        <f t="shared" ca="1" si="1"/>
        <v>0.49819074635230243</v>
      </c>
      <c r="P24">
        <f t="shared" ca="1" si="2"/>
        <v>7</v>
      </c>
    </row>
    <row r="25" spans="1:16" x14ac:dyDescent="0.3">
      <c r="A25" s="5">
        <v>17</v>
      </c>
      <c r="C25">
        <f t="shared" si="3"/>
        <v>3</v>
      </c>
      <c r="D25" s="34"/>
      <c r="E25" s="33">
        <v>3</v>
      </c>
      <c r="F25">
        <v>14</v>
      </c>
      <c r="G25" s="54"/>
      <c r="H25">
        <v>15</v>
      </c>
      <c r="I25" s="34">
        <v>2</v>
      </c>
      <c r="L25" s="12">
        <f ca="1">SUM($E25:I25)/(5-SUM(COUNTIF($E25:I25, ""))) + RAND()/1000</f>
        <v>8.5004271470615418</v>
      </c>
      <c r="M25">
        <f t="shared" ca="1" si="0"/>
        <v>12</v>
      </c>
      <c r="O25" s="13">
        <f t="shared" ca="1" si="1"/>
        <v>0.40172921404210316</v>
      </c>
      <c r="P25">
        <f t="shared" ca="1" si="2"/>
        <v>8</v>
      </c>
    </row>
    <row r="26" spans="1:16" ht="15" thickBot="1" x14ac:dyDescent="0.35">
      <c r="A26" s="5">
        <v>18</v>
      </c>
      <c r="C26">
        <f t="shared" si="3"/>
        <v>7</v>
      </c>
      <c r="D26" s="34"/>
      <c r="E26" s="35">
        <v>7</v>
      </c>
      <c r="F26" s="52">
        <v>10</v>
      </c>
      <c r="G26" s="55"/>
      <c r="H26" s="52">
        <v>9</v>
      </c>
      <c r="I26" s="36">
        <v>8</v>
      </c>
      <c r="L26" s="12">
        <f ca="1">SUM($E26:I26)/(5-SUM(COUNTIF($E26:I26, ""))) + RAND()/1000</f>
        <v>8.5007224450960042</v>
      </c>
      <c r="M26">
        <f t="shared" ca="1" si="0"/>
        <v>3</v>
      </c>
      <c r="O26" s="13">
        <f t="shared" ca="1" si="1"/>
        <v>0.17591278728786108</v>
      </c>
      <c r="P26">
        <f t="shared" ca="1" si="2"/>
        <v>11</v>
      </c>
    </row>
  </sheetData>
  <sortState xmlns:xlrd2="http://schemas.microsoft.com/office/spreadsheetml/2017/richdata2" ref="O11:P26">
    <sortCondition ref="O1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22D25-FACE-40C1-A7E8-7FDEB87DB7D4}">
  <sheetPr codeName="Sheet2"/>
  <dimension ref="A1:AR36"/>
  <sheetViews>
    <sheetView topLeftCell="A3" zoomScale="70" zoomScaleNormal="70" workbookViewId="0">
      <selection activeCell="A3" sqref="A3"/>
    </sheetView>
  </sheetViews>
  <sheetFormatPr defaultRowHeight="14.4" x14ac:dyDescent="0.3"/>
  <cols>
    <col min="1" max="1" width="7.44140625" bestFit="1" customWidth="1"/>
    <col min="2" max="2" width="25.77734375" customWidth="1"/>
    <col min="3" max="4" width="8.77734375" style="4" customWidth="1"/>
    <col min="5" max="6" width="8.77734375" customWidth="1"/>
    <col min="7" max="8" width="3" customWidth="1"/>
    <col min="9" max="9" width="5.21875" bestFit="1" customWidth="1"/>
    <col min="10" max="10" width="23.33203125" bestFit="1" customWidth="1"/>
    <col min="11" max="12" width="7.6640625" customWidth="1"/>
    <col min="13" max="13" width="2.77734375" customWidth="1"/>
    <col min="14" max="35" width="3" customWidth="1"/>
    <col min="36" max="37" width="2.77734375" customWidth="1"/>
    <col min="38" max="38" width="8.88671875" customWidth="1"/>
    <col min="39" max="40" width="25.77734375" customWidth="1"/>
    <col min="41" max="41" width="2.77734375" customWidth="1"/>
    <col min="42" max="42" width="8.88671875" customWidth="1"/>
    <col min="43" max="44" width="25.77734375" customWidth="1"/>
    <col min="45" max="45" width="8.88671875" customWidth="1"/>
  </cols>
  <sheetData>
    <row r="1" spans="1:44" ht="14.4" hidden="1" customHeight="1" x14ac:dyDescent="0.3">
      <c r="C1" s="66" t="s">
        <v>379</v>
      </c>
      <c r="D1" s="66"/>
      <c r="E1" s="66"/>
      <c r="F1" s="66"/>
      <c r="G1" s="45"/>
    </row>
    <row r="2" spans="1:44" ht="14.4" hidden="1" customHeight="1" x14ac:dyDescent="0.3">
      <c r="C2" s="66"/>
      <c r="D2" s="66"/>
      <c r="E2" s="66"/>
      <c r="F2" s="66"/>
      <c r="G2" s="45"/>
    </row>
    <row r="3" spans="1:44" ht="15" thickBot="1" x14ac:dyDescent="0.35">
      <c r="A3" t="s">
        <v>298</v>
      </c>
      <c r="C3" s="67"/>
      <c r="D3" s="67"/>
      <c r="E3" s="67"/>
      <c r="F3" s="67"/>
      <c r="G3" s="46"/>
      <c r="I3" s="71" t="str">
        <f>"Afternoon Program Counselor Assignments for  " &amp; C4</f>
        <v>Afternoon Program Counselor Assignments for  Monday, August 12, 2019</v>
      </c>
      <c r="J3" s="71"/>
      <c r="K3" s="71"/>
      <c r="L3" s="71"/>
      <c r="M3" s="71"/>
      <c r="N3" s="71"/>
      <c r="O3" s="71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34"/>
    </row>
    <row r="4" spans="1:44" ht="14.4" customHeight="1" thickBot="1" x14ac:dyDescent="0.35">
      <c r="C4" s="68" t="s">
        <v>374</v>
      </c>
      <c r="D4" s="69"/>
      <c r="E4" s="69"/>
      <c r="F4" s="70"/>
      <c r="G4" s="46"/>
      <c r="N4" s="73" t="s">
        <v>349</v>
      </c>
      <c r="O4" s="73" t="s">
        <v>350</v>
      </c>
      <c r="P4" s="76" t="s">
        <v>361</v>
      </c>
      <c r="Q4" s="72" t="s">
        <v>353</v>
      </c>
      <c r="R4" s="72" t="s">
        <v>354</v>
      </c>
      <c r="S4" s="72" t="s">
        <v>355</v>
      </c>
      <c r="T4" s="72" t="s">
        <v>356</v>
      </c>
      <c r="U4" s="72" t="s">
        <v>357</v>
      </c>
      <c r="V4" s="72" t="s">
        <v>358</v>
      </c>
      <c r="W4" s="72" t="s">
        <v>359</v>
      </c>
      <c r="X4" s="72" t="s">
        <v>360</v>
      </c>
      <c r="Y4" s="72" t="s">
        <v>352</v>
      </c>
      <c r="Z4" s="72" t="s">
        <v>362</v>
      </c>
      <c r="AA4" s="72" t="s">
        <v>363</v>
      </c>
      <c r="AB4" s="72" t="s">
        <v>364</v>
      </c>
      <c r="AC4" s="72" t="s">
        <v>365</v>
      </c>
      <c r="AD4" s="72" t="s">
        <v>366</v>
      </c>
      <c r="AE4" s="72" t="s">
        <v>367</v>
      </c>
      <c r="AF4" s="72" t="s">
        <v>368</v>
      </c>
      <c r="AG4" s="72" t="s">
        <v>369</v>
      </c>
      <c r="AH4" s="72" t="s">
        <v>370</v>
      </c>
      <c r="AI4" s="79" t="s">
        <v>371</v>
      </c>
      <c r="AJ4" s="34"/>
    </row>
    <row r="5" spans="1:44" x14ac:dyDescent="0.3">
      <c r="G5" s="34"/>
      <c r="N5" s="73"/>
      <c r="O5" s="73"/>
      <c r="P5" s="77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80"/>
      <c r="AJ5" s="34"/>
    </row>
    <row r="6" spans="1:44" x14ac:dyDescent="0.3">
      <c r="A6" t="s">
        <v>116</v>
      </c>
      <c r="E6" s="28" t="s">
        <v>106</v>
      </c>
      <c r="F6" s="28" t="s">
        <v>107</v>
      </c>
      <c r="G6" s="34"/>
      <c r="N6" s="73"/>
      <c r="O6" s="73"/>
      <c r="P6" s="77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80"/>
      <c r="AJ6" s="34"/>
    </row>
    <row r="7" spans="1:44" ht="14.4" customHeight="1" x14ac:dyDescent="0.3">
      <c r="C7" t="s">
        <v>346</v>
      </c>
      <c r="D7"/>
      <c r="E7" s="2">
        <f>SUM($C$12:$C$41) - SUMIF(E12:E41, "", $C$12:$C$41)</f>
        <v>167</v>
      </c>
      <c r="F7" s="2">
        <f>SUM($C$12:$C$41) - SUMIF(F12:F41, "", $C$12:$C$41)</f>
        <v>169</v>
      </c>
      <c r="G7" s="34"/>
      <c r="N7" s="73"/>
      <c r="O7" s="73"/>
      <c r="P7" s="77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80"/>
      <c r="AJ7" s="34"/>
    </row>
    <row r="8" spans="1:44" x14ac:dyDescent="0.3">
      <c r="C8" s="4" t="s">
        <v>347</v>
      </c>
      <c r="E8" s="2">
        <f>SUM($D$12:$D$41) - SUMIF(E12:E41, "", $D$12:$D$41)</f>
        <v>13</v>
      </c>
      <c r="F8" s="2">
        <f>SUM($D$12:$D$41) - SUMIF(F12:F41, "", $D$12:$D$41)</f>
        <v>13</v>
      </c>
      <c r="G8" s="34"/>
      <c r="N8" s="73"/>
      <c r="O8" s="73"/>
      <c r="P8" s="77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80"/>
      <c r="AJ8" s="34"/>
    </row>
    <row r="9" spans="1:44" x14ac:dyDescent="0.3">
      <c r="E9" s="2"/>
      <c r="F9" s="2"/>
      <c r="G9" s="34"/>
      <c r="N9" s="73"/>
      <c r="O9" s="73"/>
      <c r="P9" s="77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80"/>
      <c r="AJ9" s="34"/>
      <c r="AL9" s="18" t="s">
        <v>348</v>
      </c>
    </row>
    <row r="10" spans="1:44" x14ac:dyDescent="0.3">
      <c r="A10" t="s">
        <v>114</v>
      </c>
      <c r="B10" t="s">
        <v>9</v>
      </c>
      <c r="C10" s="4" t="s">
        <v>15</v>
      </c>
      <c r="D10" s="4" t="s">
        <v>345</v>
      </c>
      <c r="E10" s="28" t="s">
        <v>106</v>
      </c>
      <c r="F10" s="2" t="s">
        <v>107</v>
      </c>
      <c r="G10" s="34"/>
      <c r="I10" t="str">
        <f t="shared" ref="I10:I27" si="0">IF(A10 = "", "", A10)</f>
        <v>Code</v>
      </c>
      <c r="J10" t="str">
        <f t="shared" ref="J10:J27" si="1">IF(B10 = "", "", B10)</f>
        <v>Activity</v>
      </c>
      <c r="K10" t="str">
        <f>IF(E10 = "", "", E10)</f>
        <v>Period 1</v>
      </c>
      <c r="L10" t="str">
        <f>IF(F10 = "", "", F10)</f>
        <v>Period 2</v>
      </c>
      <c r="N10" s="73"/>
      <c r="O10" s="73"/>
      <c r="P10" s="77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80"/>
      <c r="AJ10" s="34"/>
      <c r="AL10" t="str">
        <f>"Afternoon Program List for Senior Cabins for " &amp; C4</f>
        <v>Afternoon Program List for Senior Cabins for Monday, August 12, 2019</v>
      </c>
      <c r="AP10" t="str">
        <f>"Afternoon Program List for Junior Cabins for " &amp; C4</f>
        <v>Afternoon Program List for Junior Cabins for Monday, August 12, 2019</v>
      </c>
    </row>
    <row r="11" spans="1:44" ht="15" thickBot="1" x14ac:dyDescent="0.35">
      <c r="A11" s="10">
        <v>0</v>
      </c>
      <c r="B11" s="10" t="s">
        <v>13</v>
      </c>
      <c r="C11" s="30">
        <v>999</v>
      </c>
      <c r="D11" s="30"/>
      <c r="E11" s="29"/>
      <c r="F11" s="29"/>
      <c r="G11" s="34"/>
      <c r="I11">
        <f t="shared" si="0"/>
        <v>0</v>
      </c>
      <c r="J11" t="str">
        <f t="shared" si="1"/>
        <v>Not Assigned</v>
      </c>
      <c r="K11" t="str">
        <f t="shared" ref="K11:K27" si="2">IF(E11 = "", "", E11)</f>
        <v/>
      </c>
      <c r="L11" t="str">
        <f t="shared" ref="L11:L27" si="3">IF(F11 = "", "", F11)</f>
        <v/>
      </c>
      <c r="N11" s="75"/>
      <c r="O11" s="75"/>
      <c r="P11" s="78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81"/>
      <c r="AJ11" s="34"/>
      <c r="AL11" s="6" t="s">
        <v>114</v>
      </c>
      <c r="AM11" s="21" t="s">
        <v>106</v>
      </c>
      <c r="AN11" s="1" t="s">
        <v>107</v>
      </c>
      <c r="AP11" s="6" t="s">
        <v>114</v>
      </c>
      <c r="AQ11" s="1" t="s">
        <v>106</v>
      </c>
      <c r="AR11" s="28" t="s">
        <v>107</v>
      </c>
    </row>
    <row r="12" spans="1:44" x14ac:dyDescent="0.3">
      <c r="A12" s="10">
        <v>1</v>
      </c>
      <c r="B12" s="10" t="s">
        <v>115</v>
      </c>
      <c r="C12" s="30">
        <v>30</v>
      </c>
      <c r="D12" s="30">
        <v>3</v>
      </c>
      <c r="E12" s="31" t="s">
        <v>108</v>
      </c>
      <c r="F12" s="37" t="s">
        <v>109</v>
      </c>
      <c r="G12" s="34"/>
      <c r="I12">
        <f t="shared" si="0"/>
        <v>1</v>
      </c>
      <c r="J12" t="str">
        <f t="shared" si="1"/>
        <v>[CABINS] Tubing</v>
      </c>
      <c r="K12" t="str">
        <f t="shared" si="2"/>
        <v>1, 11</v>
      </c>
      <c r="L12" t="str">
        <f t="shared" si="3"/>
        <v>2, 12</v>
      </c>
      <c r="N12" s="11">
        <f t="shared" ref="N12:N27" si="4">IF((IF(E12 = "", 0, $D12) - COUNTIF($P12:$AI12, 1) - COUNTIF($P12:$AI12, "b")) = 0, "", IF(E12 = "", 0, $D12) - COUNTIF($P12:$AI12, 1) - COUNTIF($P12:$AI12, "b"))</f>
        <v>1</v>
      </c>
      <c r="O12" s="11">
        <f t="shared" ref="O12:O27" si="5">IF((IF(F12 = "", 0, $D12) - COUNTIF($P12:$AI12, 2) - COUNTIF($P12:$AI12, "b")) = 0, "", IF(F12 = "", 0, $D12) - COUNTIF($P12:$AI12, 2) - COUNTIF($P12:$AI12, "b"))</f>
        <v>2</v>
      </c>
      <c r="P12" s="56"/>
      <c r="Q12" s="57"/>
      <c r="R12" s="57"/>
      <c r="S12" s="57"/>
      <c r="T12" s="57"/>
      <c r="U12" s="57">
        <v>1</v>
      </c>
      <c r="V12" s="57" t="s">
        <v>351</v>
      </c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8"/>
      <c r="AJ12" s="34"/>
      <c r="AL12" s="5">
        <v>1</v>
      </c>
      <c r="AM12" s="22" t="str">
        <f>IF(NOT(OR((ACTIVITYKEY!E12 = "j"), (ACTIVITYKEY!E12 = "N/A"), (ACTIVITYKEY!E12 = ""))), ACTIVITYKEY!$B12 &amp; " " &amp; ACTIVITYKEY!E12, "")</f>
        <v>[CABINS] Tubing 1, 11</v>
      </c>
      <c r="AN12" s="2" t="str">
        <f>IF(NOT(OR((ACTIVITYKEY!F12 = "j"), (ACTIVITYKEY!F12 = "N/A"), (ACTIVITYKEY!F12 = ""))), ACTIVITYKEY!$B12 &amp; " " &amp; ACTIVITYKEY!F12, "")</f>
        <v>[CABINS] Tubing 2, 12</v>
      </c>
      <c r="AP12" s="5">
        <v>1</v>
      </c>
      <c r="AQ12" t="str">
        <f>IF(NOT(OR((ACTIVITYKEY!E12 = "s"), (ACTIVITYKEY!E12 = "N/A"), (ACTIVITYKEY!E12 = ""))), ACTIVITYKEY!$B12 &amp; " " &amp; ACTIVITYKEY!E12, "")</f>
        <v>[CABINS] Tubing 1, 11</v>
      </c>
      <c r="AR12" s="2" t="str">
        <f>IF(NOT(OR((ACTIVITYKEY!F12 = "s"), (ACTIVITYKEY!F12 = "N/A"), (ACTIVITYKEY!F12 = ""))), ACTIVITYKEY!$B12 &amp; " " &amp; ACTIVITYKEY!F12, "")</f>
        <v>[CABINS] Tubing 2, 12</v>
      </c>
    </row>
    <row r="13" spans="1:44" x14ac:dyDescent="0.3">
      <c r="A13">
        <v>2</v>
      </c>
      <c r="B13" t="s">
        <v>98</v>
      </c>
      <c r="C13" s="4">
        <v>15</v>
      </c>
      <c r="D13" s="4">
        <v>1</v>
      </c>
      <c r="E13" s="33" t="s">
        <v>97</v>
      </c>
      <c r="F13" s="38" t="s">
        <v>97</v>
      </c>
      <c r="G13" s="34"/>
      <c r="I13">
        <f t="shared" si="0"/>
        <v>2</v>
      </c>
      <c r="J13" t="str">
        <f t="shared" si="1"/>
        <v>[All] Arts and Crafts</v>
      </c>
      <c r="K13" t="str">
        <f t="shared" si="2"/>
        <v>All</v>
      </c>
      <c r="L13" t="str">
        <f t="shared" si="3"/>
        <v>All</v>
      </c>
      <c r="N13" s="11" t="str">
        <f t="shared" si="4"/>
        <v/>
      </c>
      <c r="O13" s="11" t="str">
        <f t="shared" si="5"/>
        <v/>
      </c>
      <c r="P13" s="59"/>
      <c r="Q13" s="11"/>
      <c r="R13" s="11">
        <v>2</v>
      </c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>
        <v>1</v>
      </c>
      <c r="AG13" s="11"/>
      <c r="AH13" s="11"/>
      <c r="AI13" s="60"/>
      <c r="AJ13" s="34"/>
      <c r="AL13" s="5">
        <v>2</v>
      </c>
      <c r="AM13" s="22" t="str">
        <f>IF(NOT(OR((ACTIVITYKEY!E13 = "j"), (ACTIVITYKEY!E13 = "N/A"), (ACTIVITYKEY!E13 = ""))), ACTIVITYKEY!$B13, "")</f>
        <v>[All] Arts and Crafts</v>
      </c>
      <c r="AN13" s="2" t="str">
        <f>IF(NOT(OR((ACTIVITYKEY!F13 = "j"), (ACTIVITYKEY!F13 = "N/A"), (ACTIVITYKEY!F13 = ""))), ACTIVITYKEY!$B13, "")</f>
        <v>[All] Arts and Crafts</v>
      </c>
      <c r="AP13" s="5">
        <v>2</v>
      </c>
      <c r="AQ13" t="str">
        <f>IF(NOT(OR((ACTIVITYKEY!E13 = "s"), (ACTIVITYKEY!E13 = "N/A"), (ACTIVITYKEY!E13 = ""))), ACTIVITYKEY!$B13, "")</f>
        <v>[All] Arts and Crafts</v>
      </c>
      <c r="AR13" t="str">
        <f>IF(NOT(OR((ACTIVITYKEY!F13 = "s"), (ACTIVITYKEY!F13 = "N/A"), (ACTIVITYKEY!F13 = ""))), ACTIVITYKEY!$B13, "")</f>
        <v>[All] Arts and Crafts</v>
      </c>
    </row>
    <row r="14" spans="1:44" x14ac:dyDescent="0.3">
      <c r="A14">
        <v>3</v>
      </c>
      <c r="B14" t="s">
        <v>99</v>
      </c>
      <c r="C14" s="4">
        <v>20</v>
      </c>
      <c r="D14" s="4">
        <v>1</v>
      </c>
      <c r="E14" s="33"/>
      <c r="F14" s="38"/>
      <c r="G14" s="34"/>
      <c r="I14">
        <f t="shared" si="0"/>
        <v>3</v>
      </c>
      <c r="J14" t="str">
        <f t="shared" si="1"/>
        <v>[All] Basketball</v>
      </c>
      <c r="K14" t="str">
        <f t="shared" si="2"/>
        <v/>
      </c>
      <c r="L14" t="str">
        <f t="shared" si="3"/>
        <v/>
      </c>
      <c r="N14" s="11" t="str">
        <f t="shared" si="4"/>
        <v/>
      </c>
      <c r="O14" s="11" t="str">
        <f t="shared" si="5"/>
        <v/>
      </c>
      <c r="P14" s="59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60"/>
      <c r="AJ14" s="34"/>
      <c r="AL14" s="5">
        <v>3</v>
      </c>
      <c r="AM14" s="22" t="str">
        <f>IF(NOT(OR((ACTIVITYKEY!E14 = "j"), (ACTIVITYKEY!E14 = "N/A"), (ACTIVITYKEY!E14 = ""))), ACTIVITYKEY!$B14, "")</f>
        <v/>
      </c>
      <c r="AN14" s="2" t="str">
        <f>IF(NOT(OR((ACTIVITYKEY!F14 = "j"), (ACTIVITYKEY!F14 = "N/A"), (ACTIVITYKEY!F14 = ""))), ACTIVITYKEY!$B14, "")</f>
        <v/>
      </c>
      <c r="AP14" s="5">
        <v>3</v>
      </c>
      <c r="AQ14" t="str">
        <f>IF(NOT(OR((ACTIVITYKEY!E14 = "s"), (ACTIVITYKEY!E14 = "N/A"), (ACTIVITYKEY!E14 = ""))), ACTIVITYKEY!$B14, "")</f>
        <v/>
      </c>
      <c r="AR14" t="str">
        <f>IF(NOT(OR((ACTIVITYKEY!F14 = "s"), (ACTIVITYKEY!F14 = "N/A"), (ACTIVITYKEY!F14 = ""))), ACTIVITYKEY!$B14, "")</f>
        <v/>
      </c>
    </row>
    <row r="15" spans="1:44" x14ac:dyDescent="0.3">
      <c r="A15">
        <v>4</v>
      </c>
      <c r="B15" t="s">
        <v>100</v>
      </c>
      <c r="C15" s="4">
        <v>20</v>
      </c>
      <c r="D15" s="4">
        <v>2</v>
      </c>
      <c r="E15" s="33" t="s">
        <v>97</v>
      </c>
      <c r="F15" s="38" t="s">
        <v>97</v>
      </c>
      <c r="G15" s="34"/>
      <c r="I15">
        <f t="shared" si="0"/>
        <v>4</v>
      </c>
      <c r="J15" t="str">
        <f t="shared" si="1"/>
        <v>[All] Canoe/Kayak</v>
      </c>
      <c r="K15" t="str">
        <f t="shared" si="2"/>
        <v>All</v>
      </c>
      <c r="L15" t="str">
        <f t="shared" si="3"/>
        <v>All</v>
      </c>
      <c r="N15" s="11">
        <f t="shared" si="4"/>
        <v>1</v>
      </c>
      <c r="O15" s="11" t="str">
        <f t="shared" si="5"/>
        <v/>
      </c>
      <c r="P15" s="59"/>
      <c r="Q15" s="11"/>
      <c r="R15" s="11"/>
      <c r="S15" s="11"/>
      <c r="T15" s="61"/>
      <c r="U15" s="11">
        <v>2</v>
      </c>
      <c r="V15" s="11"/>
      <c r="W15" s="11">
        <v>2</v>
      </c>
      <c r="X15" s="11"/>
      <c r="Y15" s="11"/>
      <c r="Z15" s="11"/>
      <c r="AA15" s="11"/>
      <c r="AB15" s="11"/>
      <c r="AC15" s="11"/>
      <c r="AD15" s="11"/>
      <c r="AE15" s="11">
        <v>1</v>
      </c>
      <c r="AF15" s="11"/>
      <c r="AG15" s="11"/>
      <c r="AH15" s="11"/>
      <c r="AI15" s="60"/>
      <c r="AJ15" s="34"/>
      <c r="AL15" s="5">
        <v>4</v>
      </c>
      <c r="AM15" s="22" t="str">
        <f>IF(NOT(OR((ACTIVITYKEY!E15 = "j"), (ACTIVITYKEY!E15 = "N/A"), (ACTIVITYKEY!E15 = ""))), ACTIVITYKEY!$B15, "")</f>
        <v>[All] Canoe/Kayak</v>
      </c>
      <c r="AN15" s="2" t="str">
        <f>IF(NOT(OR((ACTIVITYKEY!F15 = "j"), (ACTIVITYKEY!F15 = "N/A"), (ACTIVITYKEY!F15 = ""))), ACTIVITYKEY!$B15, "")</f>
        <v>[All] Canoe/Kayak</v>
      </c>
      <c r="AP15" s="5">
        <v>4</v>
      </c>
      <c r="AQ15" t="str">
        <f>IF(NOT(OR((ACTIVITYKEY!E15 = "s"), (ACTIVITYKEY!E15 = "N/A"), (ACTIVITYKEY!E15 = ""))), ACTIVITYKEY!$B15, "")</f>
        <v>[All] Canoe/Kayak</v>
      </c>
      <c r="AR15" t="str">
        <f>IF(NOT(OR((ACTIVITYKEY!F15 = "s"), (ACTIVITYKEY!F15 = "N/A"), (ACTIVITYKEY!F15 = ""))), ACTIVITYKEY!$B15, "")</f>
        <v>[All] Canoe/Kayak</v>
      </c>
    </row>
    <row r="16" spans="1:44" x14ac:dyDescent="0.3">
      <c r="A16">
        <v>5</v>
      </c>
      <c r="B16" t="s">
        <v>102</v>
      </c>
      <c r="C16" s="4">
        <v>50</v>
      </c>
      <c r="D16" s="4">
        <v>2</v>
      </c>
      <c r="E16" s="33" t="s">
        <v>97</v>
      </c>
      <c r="F16" s="38" t="s">
        <v>97</v>
      </c>
      <c r="G16" s="34"/>
      <c r="I16">
        <f t="shared" si="0"/>
        <v>5</v>
      </c>
      <c r="J16" t="str">
        <f t="shared" si="1"/>
        <v>[All] Free Swim</v>
      </c>
      <c r="K16" t="str">
        <f t="shared" si="2"/>
        <v>All</v>
      </c>
      <c r="L16" t="str">
        <f t="shared" si="3"/>
        <v>All</v>
      </c>
      <c r="N16" s="11">
        <f t="shared" si="4"/>
        <v>2</v>
      </c>
      <c r="O16" s="11">
        <f t="shared" si="5"/>
        <v>1</v>
      </c>
      <c r="P16" s="59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>
        <v>2</v>
      </c>
      <c r="AF16" s="11"/>
      <c r="AG16" s="11"/>
      <c r="AH16" s="11"/>
      <c r="AI16" s="60"/>
      <c r="AJ16" s="34"/>
      <c r="AL16" s="5">
        <v>5</v>
      </c>
      <c r="AM16" s="22" t="str">
        <f>IF(NOT(OR((ACTIVITYKEY!E16 = "j"), (ACTIVITYKEY!E16 = "N/A"), (ACTIVITYKEY!E16 = ""))), ACTIVITYKEY!$B16, "")</f>
        <v>[All] Free Swim</v>
      </c>
      <c r="AN16" s="2" t="str">
        <f>IF(NOT(OR((ACTIVITYKEY!F16 = "j"), (ACTIVITYKEY!F16 = "N/A"), (ACTIVITYKEY!F16 = ""))), ACTIVITYKEY!$B16, "")</f>
        <v>[All] Free Swim</v>
      </c>
      <c r="AP16" s="5">
        <v>5</v>
      </c>
      <c r="AQ16" t="str">
        <f>IF(NOT(OR((ACTIVITYKEY!E16 = "s"), (ACTIVITYKEY!E16 = "N/A"), (ACTIVITYKEY!E16 = ""))), ACTIVITYKEY!$B16, "")</f>
        <v>[All] Free Swim</v>
      </c>
      <c r="AR16" t="str">
        <f>IF(NOT(OR((ACTIVITYKEY!F16 = "s"), (ACTIVITYKEY!F16 = "N/A"), (ACTIVITYKEY!F16 = ""))), ACTIVITYKEY!$B16, "")</f>
        <v>[All] Free Swim</v>
      </c>
    </row>
    <row r="17" spans="1:44" x14ac:dyDescent="0.3">
      <c r="A17">
        <v>6</v>
      </c>
      <c r="B17" t="s">
        <v>101</v>
      </c>
      <c r="C17" s="4">
        <v>20</v>
      </c>
      <c r="D17" s="4">
        <v>1</v>
      </c>
      <c r="E17" s="33" t="s">
        <v>97</v>
      </c>
      <c r="F17" s="38" t="s">
        <v>97</v>
      </c>
      <c r="G17" s="34"/>
      <c r="I17">
        <f t="shared" si="0"/>
        <v>6</v>
      </c>
      <c r="J17" t="str">
        <f t="shared" si="1"/>
        <v>[All] Soccer</v>
      </c>
      <c r="K17" t="str">
        <f t="shared" si="2"/>
        <v>All</v>
      </c>
      <c r="L17" t="str">
        <f t="shared" si="3"/>
        <v>All</v>
      </c>
      <c r="N17" s="11" t="str">
        <f t="shared" si="4"/>
        <v/>
      </c>
      <c r="O17" s="11">
        <f t="shared" si="5"/>
        <v>1</v>
      </c>
      <c r="P17" s="59"/>
      <c r="Q17" s="11"/>
      <c r="R17" s="11"/>
      <c r="S17" s="11"/>
      <c r="T17" s="61">
        <v>1</v>
      </c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60"/>
      <c r="AJ17" s="34"/>
      <c r="AL17" s="5">
        <v>6</v>
      </c>
      <c r="AM17" s="22" t="str">
        <f>IF(NOT(OR((ACTIVITYKEY!E17 = "j"), (ACTIVITYKEY!E17 = "N/A"), (ACTIVITYKEY!E17 = ""))), ACTIVITYKEY!$B17, "")</f>
        <v>[All] Soccer</v>
      </c>
      <c r="AN17" s="2" t="str">
        <f>IF(NOT(OR((ACTIVITYKEY!F17 = "j"), (ACTIVITYKEY!F17 = "N/A"), (ACTIVITYKEY!F17 = ""))), ACTIVITYKEY!$B17, "")</f>
        <v>[All] Soccer</v>
      </c>
      <c r="AP17" s="5">
        <v>6</v>
      </c>
      <c r="AQ17" t="str">
        <f>IF(NOT(OR((ACTIVITYKEY!E17 = "s"), (ACTIVITYKEY!E17 = "N/A"), (ACTIVITYKEY!E17 = ""))), ACTIVITYKEY!$B17, "")</f>
        <v>[All] Soccer</v>
      </c>
      <c r="AR17" t="str">
        <f>IF(NOT(OR((ACTIVITYKEY!F17 = "s"), (ACTIVITYKEY!F17 = "N/A"), (ACTIVITYKEY!F17 = ""))), ACTIVITYKEY!$B17, "")</f>
        <v>[All] Soccer</v>
      </c>
    </row>
    <row r="18" spans="1:44" x14ac:dyDescent="0.3">
      <c r="A18">
        <v>7</v>
      </c>
      <c r="B18" t="s">
        <v>110</v>
      </c>
      <c r="C18" s="4">
        <v>10</v>
      </c>
      <c r="D18" s="4">
        <v>1</v>
      </c>
      <c r="E18" s="33"/>
      <c r="F18" s="38" t="s">
        <v>118</v>
      </c>
      <c r="G18" s="34"/>
      <c r="I18">
        <f t="shared" si="0"/>
        <v>7</v>
      </c>
      <c r="J18" t="str">
        <f t="shared" si="1"/>
        <v>[All] Frog Hunting</v>
      </c>
      <c r="K18" t="str">
        <f t="shared" si="2"/>
        <v/>
      </c>
      <c r="L18" t="str">
        <f t="shared" si="3"/>
        <v>J</v>
      </c>
      <c r="N18" s="11" t="str">
        <f t="shared" si="4"/>
        <v/>
      </c>
      <c r="O18" s="11" t="str">
        <f t="shared" si="5"/>
        <v/>
      </c>
      <c r="P18" s="59"/>
      <c r="Q18" s="11"/>
      <c r="R18" s="11"/>
      <c r="S18" s="11"/>
      <c r="T18" s="61">
        <v>2</v>
      </c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60"/>
      <c r="AJ18" s="34"/>
      <c r="AL18" s="5">
        <v>7</v>
      </c>
      <c r="AM18" s="22" t="str">
        <f>IF(NOT(OR((ACTIVITYKEY!E18 = "j"), (ACTIVITYKEY!E18 = "N/A"), (ACTIVITYKEY!E18 = ""))), ACTIVITYKEY!$B18, "")</f>
        <v/>
      </c>
      <c r="AN18" s="2" t="str">
        <f>IF(NOT(OR((ACTIVITYKEY!F18 = "j"), (ACTIVITYKEY!F18 = "N/A"), (ACTIVITYKEY!F18 = ""))), ACTIVITYKEY!$B18, "")</f>
        <v/>
      </c>
      <c r="AP18" s="5">
        <v>7</v>
      </c>
      <c r="AQ18" t="str">
        <f>IF(NOT(OR((ACTIVITYKEY!E18 = "s"), (ACTIVITYKEY!E18 = "N/A"), (ACTIVITYKEY!E18 = ""))), ACTIVITYKEY!$B18, "")</f>
        <v/>
      </c>
      <c r="AR18" t="str">
        <f>IF(NOT(OR((ACTIVITYKEY!F18 = "s"), (ACTIVITYKEY!F18 = "N/A"), (ACTIVITYKEY!F18 = ""))), ACTIVITYKEY!$B18, "")</f>
        <v>[All] Frog Hunting</v>
      </c>
    </row>
    <row r="19" spans="1:44" x14ac:dyDescent="0.3">
      <c r="A19">
        <v>8</v>
      </c>
      <c r="B19" t="s">
        <v>111</v>
      </c>
      <c r="C19" s="4">
        <v>10</v>
      </c>
      <c r="D19" s="4">
        <v>1</v>
      </c>
      <c r="E19" s="33"/>
      <c r="F19" s="38"/>
      <c r="G19" s="34"/>
      <c r="I19">
        <f t="shared" si="0"/>
        <v>8</v>
      </c>
      <c r="J19" t="str">
        <f t="shared" si="1"/>
        <v>[All] Tennis</v>
      </c>
      <c r="K19" t="str">
        <f t="shared" si="2"/>
        <v/>
      </c>
      <c r="L19" t="str">
        <f t="shared" si="3"/>
        <v/>
      </c>
      <c r="N19" s="11" t="str">
        <f t="shared" si="4"/>
        <v/>
      </c>
      <c r="O19" s="11" t="str">
        <f t="shared" si="5"/>
        <v/>
      </c>
      <c r="P19" s="59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60"/>
      <c r="AJ19" s="34"/>
      <c r="AL19" s="5">
        <v>8</v>
      </c>
      <c r="AM19" s="22" t="str">
        <f>IF(NOT(OR((ACTIVITYKEY!E19 = "j"), (ACTIVITYKEY!E19 = "N/A"), (ACTIVITYKEY!E19 = ""))), ACTIVITYKEY!$B19, "")</f>
        <v/>
      </c>
      <c r="AN19" s="2" t="str">
        <f>IF(NOT(OR((ACTIVITYKEY!F19 = "j"), (ACTIVITYKEY!F19 = "N/A"), (ACTIVITYKEY!F19 = ""))), ACTIVITYKEY!$B19, "")</f>
        <v/>
      </c>
      <c r="AP19" s="5">
        <v>8</v>
      </c>
      <c r="AQ19" t="str">
        <f>IF(NOT(OR((ACTIVITYKEY!E19 = "s"), (ACTIVITYKEY!E19 = "N/A"), (ACTIVITYKEY!E19 = ""))), ACTIVITYKEY!$B19, "")</f>
        <v/>
      </c>
      <c r="AR19" t="str">
        <f>IF(NOT(OR((ACTIVITYKEY!F19 = "s"), (ACTIVITYKEY!F19 = "N/A"), (ACTIVITYKEY!F19 = ""))), ACTIVITYKEY!$B19, "")</f>
        <v/>
      </c>
    </row>
    <row r="20" spans="1:44" x14ac:dyDescent="0.3">
      <c r="A20">
        <v>9</v>
      </c>
      <c r="B20" t="s">
        <v>113</v>
      </c>
      <c r="C20" s="4">
        <v>20</v>
      </c>
      <c r="D20" s="4">
        <v>1</v>
      </c>
      <c r="E20" s="33"/>
      <c r="F20" s="38"/>
      <c r="G20" s="34"/>
      <c r="I20">
        <f t="shared" si="0"/>
        <v>9</v>
      </c>
      <c r="J20" t="str">
        <f t="shared" si="1"/>
        <v>[All] Basketball/Dodgeball</v>
      </c>
      <c r="K20" t="str">
        <f t="shared" si="2"/>
        <v/>
      </c>
      <c r="L20" t="str">
        <f t="shared" si="3"/>
        <v/>
      </c>
      <c r="N20" s="11" t="str">
        <f t="shared" si="4"/>
        <v/>
      </c>
      <c r="O20" s="11" t="str">
        <f t="shared" si="5"/>
        <v/>
      </c>
      <c r="P20" s="59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60"/>
      <c r="AJ20" s="34"/>
      <c r="AL20" s="5">
        <v>9</v>
      </c>
      <c r="AM20" s="22" t="str">
        <f>IF(NOT(OR((ACTIVITYKEY!E20 = "j"), (ACTIVITYKEY!E20 = "N/A"), (ACTIVITYKEY!E20 = ""))), ACTIVITYKEY!$B20, "")</f>
        <v/>
      </c>
      <c r="AN20" s="2" t="str">
        <f>IF(NOT(OR((ACTIVITYKEY!F20 = "j"), (ACTIVITYKEY!F20 = "N/A"), (ACTIVITYKEY!F20 = ""))), ACTIVITYKEY!$B20, "")</f>
        <v/>
      </c>
      <c r="AP20" s="5">
        <v>9</v>
      </c>
      <c r="AQ20" t="str">
        <f>IF(NOT(OR((ACTIVITYKEY!E20 = "s"), (ACTIVITYKEY!E20 = "N/A"), (ACTIVITYKEY!E20 = ""))), ACTIVITYKEY!$B20, "")</f>
        <v/>
      </c>
      <c r="AR20" t="str">
        <f>IF(NOT(OR((ACTIVITYKEY!F20 = "s"), (ACTIVITYKEY!F20 = "N/A"), (ACTIVITYKEY!F20 = ""))), ACTIVITYKEY!$B20, "")</f>
        <v/>
      </c>
    </row>
    <row r="21" spans="1:44" x14ac:dyDescent="0.3">
      <c r="A21">
        <v>10</v>
      </c>
      <c r="B21" t="s">
        <v>112</v>
      </c>
      <c r="C21" s="4">
        <v>8</v>
      </c>
      <c r="D21" s="4">
        <v>1</v>
      </c>
      <c r="E21" s="33" t="s">
        <v>117</v>
      </c>
      <c r="F21" s="38" t="s">
        <v>118</v>
      </c>
      <c r="G21" s="34"/>
      <c r="I21">
        <f t="shared" si="0"/>
        <v>10</v>
      </c>
      <c r="J21" t="str">
        <f t="shared" si="1"/>
        <v>[J/S] Archery/Pellet Guns</v>
      </c>
      <c r="K21" t="str">
        <f t="shared" si="2"/>
        <v>S</v>
      </c>
      <c r="L21" t="str">
        <f t="shared" si="3"/>
        <v>J</v>
      </c>
      <c r="N21" s="11">
        <f t="shared" si="4"/>
        <v>1</v>
      </c>
      <c r="O21" s="11">
        <f t="shared" si="5"/>
        <v>1</v>
      </c>
      <c r="P21" s="59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60"/>
      <c r="AJ21" s="34"/>
      <c r="AL21" s="5">
        <v>10</v>
      </c>
      <c r="AM21" s="22" t="str">
        <f>IF(NOT(OR((ACTIVITYKEY!E21 = "j"), (ACTIVITYKEY!E21 = "N/A"), (ACTIVITYKEY!E21 = ""))), ACTIVITYKEY!$B21, "")</f>
        <v>[J/S] Archery/Pellet Guns</v>
      </c>
      <c r="AN21" s="2" t="str">
        <f>IF(NOT(OR((ACTIVITYKEY!F21 = "j"), (ACTIVITYKEY!F21 = "N/A"), (ACTIVITYKEY!F21 = ""))), ACTIVITYKEY!$B21, "")</f>
        <v/>
      </c>
      <c r="AP21" s="5">
        <v>10</v>
      </c>
      <c r="AQ21" t="str">
        <f>IF(NOT(OR((ACTIVITYKEY!E21 = "s"), (ACTIVITYKEY!E21 = "N/A"), (ACTIVITYKEY!E21 = ""))), ACTIVITYKEY!$B21, "")</f>
        <v/>
      </c>
      <c r="AR21" t="str">
        <f>IF(NOT(OR((ACTIVITYKEY!F21 = "s"), (ACTIVITYKEY!F21 = "N/A"), (ACTIVITYKEY!F21 = ""))), ACTIVITYKEY!$B21, "")</f>
        <v>[J/S] Archery/Pellet Guns</v>
      </c>
    </row>
    <row r="22" spans="1:44" x14ac:dyDescent="0.3">
      <c r="A22">
        <v>11</v>
      </c>
      <c r="B22" t="s">
        <v>344</v>
      </c>
      <c r="C22" s="4">
        <v>8</v>
      </c>
      <c r="D22" s="4">
        <v>1</v>
      </c>
      <c r="E22" s="33" t="s">
        <v>117</v>
      </c>
      <c r="F22" s="38"/>
      <c r="G22" s="34"/>
      <c r="I22">
        <f t="shared" si="0"/>
        <v>11</v>
      </c>
      <c r="J22" t="str">
        <f t="shared" si="1"/>
        <v>[J/S] Aunt Saloma's Kitchen</v>
      </c>
      <c r="K22" t="str">
        <f t="shared" si="2"/>
        <v>S</v>
      </c>
      <c r="L22" t="str">
        <f t="shared" si="3"/>
        <v/>
      </c>
      <c r="N22" s="11">
        <f t="shared" si="4"/>
        <v>1</v>
      </c>
      <c r="O22" s="11" t="str">
        <f t="shared" si="5"/>
        <v/>
      </c>
      <c r="P22" s="59"/>
      <c r="Q22" s="11"/>
      <c r="R22" s="11"/>
      <c r="S22" s="11"/>
      <c r="T22" s="6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60"/>
      <c r="AJ22" s="34"/>
      <c r="AL22" s="5">
        <v>11</v>
      </c>
      <c r="AM22" s="22" t="str">
        <f>IF(NOT(OR((ACTIVITYKEY!E22 = "j"), (ACTIVITYKEY!E22 = "N/A"), (ACTIVITYKEY!E22 = ""))), ACTIVITYKEY!$B22, "")</f>
        <v>[J/S] Aunt Saloma's Kitchen</v>
      </c>
      <c r="AN22" s="2" t="str">
        <f>IF(NOT(OR((ACTIVITYKEY!F22 = "j"), (ACTIVITYKEY!F22 = "N/A"), (ACTIVITYKEY!F22 = ""))), ACTIVITYKEY!$B22, "")</f>
        <v/>
      </c>
      <c r="AP22" s="5">
        <v>11</v>
      </c>
      <c r="AQ22" t="str">
        <f>IF(NOT(OR((ACTIVITYKEY!E22 = "s"), (ACTIVITYKEY!E22 = "N/A"), (ACTIVITYKEY!E22 = ""))), ACTIVITYKEY!$B22, "")</f>
        <v/>
      </c>
      <c r="AR22" t="str">
        <f>IF(NOT(OR((ACTIVITYKEY!F22 = "s"), (ACTIVITYKEY!F22 = "N/A"), (ACTIVITYKEY!F22 = ""))), ACTIVITYKEY!$B22, "")</f>
        <v/>
      </c>
    </row>
    <row r="23" spans="1:44" x14ac:dyDescent="0.3">
      <c r="A23">
        <v>12</v>
      </c>
      <c r="B23" t="s">
        <v>103</v>
      </c>
      <c r="C23" s="4">
        <v>8</v>
      </c>
      <c r="D23" s="4">
        <v>1</v>
      </c>
      <c r="E23" s="33" t="s">
        <v>118</v>
      </c>
      <c r="F23" s="38" t="s">
        <v>117</v>
      </c>
      <c r="G23" s="34"/>
      <c r="I23">
        <f t="shared" si="0"/>
        <v>12</v>
      </c>
      <c r="J23" t="str">
        <f t="shared" si="1"/>
        <v>[J/S] Fishing</v>
      </c>
      <c r="K23" t="str">
        <f t="shared" si="2"/>
        <v>J</v>
      </c>
      <c r="L23" t="str">
        <f t="shared" si="3"/>
        <v>S</v>
      </c>
      <c r="N23" s="11">
        <f t="shared" si="4"/>
        <v>1</v>
      </c>
      <c r="O23" s="11">
        <f t="shared" si="5"/>
        <v>1</v>
      </c>
      <c r="P23" s="59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60"/>
      <c r="AJ23" s="34"/>
      <c r="AL23" s="5">
        <v>12</v>
      </c>
      <c r="AM23" s="22" t="str">
        <f>IF(NOT(OR((ACTIVITYKEY!E23 = "j"), (ACTIVITYKEY!E23 = "N/A"), (ACTIVITYKEY!E23 = ""))), ACTIVITYKEY!$B23, "")</f>
        <v/>
      </c>
      <c r="AN23" s="2" t="str">
        <f>IF(NOT(OR((ACTIVITYKEY!F23 = "j"), (ACTIVITYKEY!F23 = "N/A"), (ACTIVITYKEY!F23 = ""))), ACTIVITYKEY!$B23, "")</f>
        <v>[J/S] Fishing</v>
      </c>
      <c r="AP23" s="5">
        <v>12</v>
      </c>
      <c r="AQ23" t="str">
        <f>IF(NOT(OR((ACTIVITYKEY!E23 = "s"), (ACTIVITYKEY!E23 = "N/A"), (ACTIVITYKEY!E23 = ""))), ACTIVITYKEY!$B23, "")</f>
        <v>[J/S] Fishing</v>
      </c>
      <c r="AR23" t="str">
        <f>IF(NOT(OR((ACTIVITYKEY!F23 = "s"), (ACTIVITYKEY!F23 = "N/A"), (ACTIVITYKEY!F23 = ""))), ACTIVITYKEY!$B23, "")</f>
        <v/>
      </c>
    </row>
    <row r="24" spans="1:44" x14ac:dyDescent="0.3">
      <c r="A24">
        <v>13</v>
      </c>
      <c r="B24" t="s">
        <v>104</v>
      </c>
      <c r="C24" s="4">
        <v>8</v>
      </c>
      <c r="D24" s="4">
        <v>1</v>
      </c>
      <c r="E24" s="33" t="s">
        <v>118</v>
      </c>
      <c r="F24" s="38" t="s">
        <v>117</v>
      </c>
      <c r="G24" s="34"/>
      <c r="I24">
        <f t="shared" si="0"/>
        <v>13</v>
      </c>
      <c r="J24" t="str">
        <f t="shared" si="1"/>
        <v>[J/S] Rock Climbing</v>
      </c>
      <c r="K24" t="str">
        <f t="shared" si="2"/>
        <v>J</v>
      </c>
      <c r="L24" t="str">
        <f t="shared" si="3"/>
        <v>S</v>
      </c>
      <c r="N24" s="11">
        <f t="shared" si="4"/>
        <v>1</v>
      </c>
      <c r="O24" s="11">
        <f t="shared" si="5"/>
        <v>1</v>
      </c>
      <c r="P24" s="59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60"/>
      <c r="AJ24" s="34"/>
      <c r="AL24" s="5">
        <v>13</v>
      </c>
      <c r="AM24" s="22" t="str">
        <f>IF(NOT(OR((ACTIVITYKEY!E24 = "j"), (ACTIVITYKEY!E24 = "N/A"), (ACTIVITYKEY!E24 = ""))), ACTIVITYKEY!$B24, "")</f>
        <v/>
      </c>
      <c r="AN24" s="2" t="str">
        <f>IF(NOT(OR((ACTIVITYKEY!F24 = "j"), (ACTIVITYKEY!F24 = "N/A"), (ACTIVITYKEY!F24 = ""))), ACTIVITYKEY!$B24, "")</f>
        <v>[J/S] Rock Climbing</v>
      </c>
      <c r="AP24" s="5">
        <v>13</v>
      </c>
      <c r="AQ24" t="str">
        <f>IF(NOT(OR((ACTIVITYKEY!E24 = "s"), (ACTIVITYKEY!E24 = "N/A"), (ACTIVITYKEY!E24 = ""))), ACTIVITYKEY!$B24, "")</f>
        <v>[J/S] Rock Climbing</v>
      </c>
      <c r="AR24" t="str">
        <f>IF(NOT(OR((ACTIVITYKEY!F24 = "s"), (ACTIVITYKEY!F24 = "N/A"), (ACTIVITYKEY!F24 = ""))), ACTIVITYKEY!$B24, "")</f>
        <v/>
      </c>
    </row>
    <row r="25" spans="1:44" x14ac:dyDescent="0.3">
      <c r="A25">
        <v>14</v>
      </c>
      <c r="E25" s="33"/>
      <c r="F25" s="38"/>
      <c r="G25" s="34"/>
      <c r="I25">
        <f t="shared" si="0"/>
        <v>14</v>
      </c>
      <c r="J25" t="str">
        <f t="shared" si="1"/>
        <v/>
      </c>
      <c r="K25" t="str">
        <f t="shared" si="2"/>
        <v/>
      </c>
      <c r="L25" t="str">
        <f t="shared" si="3"/>
        <v/>
      </c>
      <c r="N25" s="11" t="str">
        <f t="shared" si="4"/>
        <v/>
      </c>
      <c r="O25" s="11" t="str">
        <f t="shared" si="5"/>
        <v/>
      </c>
      <c r="P25" s="59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60"/>
      <c r="AJ25" s="34"/>
      <c r="AL25" s="5">
        <v>14</v>
      </c>
      <c r="AM25" s="22" t="str">
        <f>IF(NOT(OR((ACTIVITYKEY!E25 = "j"), (ACTIVITYKEY!E25 = "N/A"), (ACTIVITYKEY!E25 = ""))), ACTIVITYKEY!$B25, "")</f>
        <v/>
      </c>
      <c r="AN25" s="2" t="str">
        <f>IF(NOT(OR((ACTIVITYKEY!F25 = "j"), (ACTIVITYKEY!F25 = "N/A"), (ACTIVITYKEY!F25 = ""))), ACTIVITYKEY!$B25, "")</f>
        <v/>
      </c>
      <c r="AP25" s="5">
        <v>14</v>
      </c>
      <c r="AQ25" t="str">
        <f>IF(NOT(OR((ACTIVITYKEY!E25 = "s"), (ACTIVITYKEY!E25 = "N/A"), (ACTIVITYKEY!E25 = ""))), ACTIVITYKEY!$B25, "")</f>
        <v/>
      </c>
      <c r="AR25" t="str">
        <f>IF(NOT(OR((ACTIVITYKEY!F25 = "s"), (ACTIVITYKEY!F25 = "N/A"), (ACTIVITYKEY!F25 = ""))), ACTIVITYKEY!$B25, "")</f>
        <v/>
      </c>
    </row>
    <row r="26" spans="1:44" x14ac:dyDescent="0.3">
      <c r="A26">
        <v>15</v>
      </c>
      <c r="E26" s="33"/>
      <c r="F26" s="38"/>
      <c r="G26" s="34"/>
      <c r="I26">
        <f t="shared" si="0"/>
        <v>15</v>
      </c>
      <c r="J26" t="str">
        <f t="shared" si="1"/>
        <v/>
      </c>
      <c r="K26" t="str">
        <f t="shared" si="2"/>
        <v/>
      </c>
      <c r="L26" t="str">
        <f t="shared" si="3"/>
        <v/>
      </c>
      <c r="N26" s="11" t="str">
        <f t="shared" si="4"/>
        <v/>
      </c>
      <c r="O26" s="11" t="str">
        <f t="shared" si="5"/>
        <v/>
      </c>
      <c r="P26" s="59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60"/>
      <c r="AJ26" s="34"/>
      <c r="AL26" s="5">
        <v>15</v>
      </c>
      <c r="AM26" s="22" t="str">
        <f>IF(NOT(OR((ACTIVITYKEY!E26 = "j"), (ACTIVITYKEY!E26 = "N/A"), (ACTIVITYKEY!E26 = ""))), ACTIVITYKEY!$B26, "")</f>
        <v/>
      </c>
      <c r="AN26" s="2" t="str">
        <f>IF(NOT(OR((ACTIVITYKEY!F26 = "j"), (ACTIVITYKEY!F26 = "N/A"), (ACTIVITYKEY!F26 = ""))), ACTIVITYKEY!$B26, "")</f>
        <v/>
      </c>
      <c r="AP26" s="5">
        <v>15</v>
      </c>
      <c r="AQ26" t="str">
        <f>IF(NOT(OR((ACTIVITYKEY!E26 = "s"), (ACTIVITYKEY!E26 = "N/A"), (ACTIVITYKEY!E26 = ""))), ACTIVITYKEY!$B26, "")</f>
        <v/>
      </c>
      <c r="AR26" t="str">
        <f>IF(NOT(OR((ACTIVITYKEY!F26 = "s"), (ACTIVITYKEY!F26 = "N/A"), (ACTIVITYKEY!F26 = ""))), ACTIVITYKEY!$B26, "")</f>
        <v/>
      </c>
    </row>
    <row r="27" spans="1:44" ht="15" thickBot="1" x14ac:dyDescent="0.35">
      <c r="A27" s="1">
        <v>16</v>
      </c>
      <c r="B27" s="1"/>
      <c r="C27" s="8"/>
      <c r="D27" s="8"/>
      <c r="E27" s="35"/>
      <c r="F27" s="39"/>
      <c r="G27" s="34"/>
      <c r="I27">
        <f t="shared" si="0"/>
        <v>16</v>
      </c>
      <c r="J27" t="str">
        <f t="shared" si="1"/>
        <v/>
      </c>
      <c r="K27" t="str">
        <f t="shared" si="2"/>
        <v/>
      </c>
      <c r="L27" t="str">
        <f t="shared" si="3"/>
        <v/>
      </c>
      <c r="N27" s="11" t="str">
        <f t="shared" si="4"/>
        <v/>
      </c>
      <c r="O27" s="11" t="str">
        <f t="shared" si="5"/>
        <v/>
      </c>
      <c r="P27" s="62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4"/>
      <c r="AJ27" s="34"/>
      <c r="AL27" s="5">
        <v>16</v>
      </c>
      <c r="AM27" s="22" t="str">
        <f>IF(NOT(OR((ACTIVITYKEY!E27 = "j"), (ACTIVITYKEY!E27 = "N/A"), (ACTIVITYKEY!E27 = ""))), ACTIVITYKEY!$B27, "")</f>
        <v/>
      </c>
      <c r="AN27" s="2" t="str">
        <f>IF(NOT(OR((ACTIVITYKEY!F27 = "j"), (ACTIVITYKEY!F27 = "N/A"), (ACTIVITYKEY!F27 = ""))), ACTIVITYKEY!$B27, "")</f>
        <v/>
      </c>
      <c r="AP27" s="5">
        <v>16</v>
      </c>
      <c r="AQ27" t="str">
        <f>IF(NOT(OR((ACTIVITYKEY!E27 = "s"), (ACTIVITYKEY!E27 = "N/A"), (ACTIVITYKEY!E27 = ""))), ACTIVITYKEY!$B27, "")</f>
        <v/>
      </c>
      <c r="AR27" t="str">
        <f>IF(NOT(OR((ACTIVITYKEY!F27 = "s"), (ACTIVITYKEY!F27 = "N/A"), (ACTIVITYKEY!F27 = ""))), ACTIVITYKEY!$B27, "")</f>
        <v/>
      </c>
    </row>
    <row r="28" spans="1:44" x14ac:dyDescent="0.3">
      <c r="A28">
        <v>17</v>
      </c>
      <c r="G28" s="34"/>
      <c r="N28" s="11"/>
      <c r="O28" s="11"/>
      <c r="P28" s="44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34"/>
    </row>
    <row r="29" spans="1:44" x14ac:dyDescent="0.3">
      <c r="A29">
        <v>18</v>
      </c>
      <c r="G29" s="34"/>
      <c r="N29" s="11"/>
      <c r="O29" s="11" t="s">
        <v>372</v>
      </c>
      <c r="P29" s="44" t="str">
        <f>_xlfn.IFS(((COUNTIF(P$12:P$27, 1) + COUNTIF(P$12:P$27, "b")) = 1), "", ((COUNTIF(P$12:P$27, 1) + COUNTIF(P$12:P$27, "b")) &gt; 1), "ERROR", ((COUNTIF(P$12:P$27, 1) + COUNTIF(P$12:P$27, "b")) = 0), "y")</f>
        <v>y</v>
      </c>
      <c r="Q29" s="11" t="str">
        <f t="shared" ref="Q29:AI29" si="6">_xlfn.IFS(((COUNTIF(Q$12:Q$27, 1) + COUNTIF(Q$12:Q$27, "b")) = 1), "", ((COUNTIF(Q$12:Q$27, 1) + COUNTIF(Q$12:Q$27, "b")) &gt; 1), "ERROR", ((COUNTIF(Q$12:Q$27, 1) + COUNTIF(Q$12:Q$27, "b")) = 0), "y")</f>
        <v>y</v>
      </c>
      <c r="R29" s="11" t="str">
        <f t="shared" si="6"/>
        <v>y</v>
      </c>
      <c r="S29" s="11" t="str">
        <f t="shared" si="6"/>
        <v>y</v>
      </c>
      <c r="T29" s="11" t="str">
        <f t="shared" si="6"/>
        <v/>
      </c>
      <c r="U29" s="11" t="str">
        <f t="shared" si="6"/>
        <v/>
      </c>
      <c r="V29" s="11" t="str">
        <f t="shared" si="6"/>
        <v/>
      </c>
      <c r="W29" s="11" t="str">
        <f t="shared" si="6"/>
        <v>y</v>
      </c>
      <c r="X29" s="11" t="str">
        <f t="shared" si="6"/>
        <v>y</v>
      </c>
      <c r="Y29" s="11" t="str">
        <f t="shared" si="6"/>
        <v>y</v>
      </c>
      <c r="Z29" s="11" t="str">
        <f t="shared" si="6"/>
        <v>y</v>
      </c>
      <c r="AA29" s="11" t="str">
        <f t="shared" si="6"/>
        <v>y</v>
      </c>
      <c r="AB29" s="11" t="str">
        <f t="shared" si="6"/>
        <v>y</v>
      </c>
      <c r="AC29" s="11" t="str">
        <f t="shared" si="6"/>
        <v>y</v>
      </c>
      <c r="AD29" s="11" t="str">
        <f t="shared" si="6"/>
        <v>y</v>
      </c>
      <c r="AE29" s="11" t="str">
        <f t="shared" si="6"/>
        <v/>
      </c>
      <c r="AF29" s="11" t="str">
        <f t="shared" si="6"/>
        <v/>
      </c>
      <c r="AG29" s="11" t="str">
        <f t="shared" si="6"/>
        <v>y</v>
      </c>
      <c r="AH29" s="11" t="str">
        <f t="shared" si="6"/>
        <v>y</v>
      </c>
      <c r="AI29" s="11" t="str">
        <f t="shared" si="6"/>
        <v>y</v>
      </c>
      <c r="AJ29" s="34"/>
    </row>
    <row r="30" spans="1:44" x14ac:dyDescent="0.3">
      <c r="A30">
        <v>19</v>
      </c>
      <c r="G30" s="34"/>
      <c r="N30" s="11"/>
      <c r="O30" s="11" t="s">
        <v>373</v>
      </c>
      <c r="P30" s="44" t="str">
        <f>_xlfn.IFS(((COUNTIF(P$12:P$27, 2) + COUNTIF(P$12:P$27, "b")) = 1), "", ((COUNTIF(P$12:P$27, 2) + COUNTIF(P$12:P$27, "b")) &gt; 1), "ERROR", ((COUNTIF(P$12:P$27, 2) + COUNTIF(P$12:P$27, "b")) = 0), "y")</f>
        <v>y</v>
      </c>
      <c r="Q30" s="11" t="str">
        <f t="shared" ref="Q30:AI30" si="7">_xlfn.IFS(((COUNTIF(Q$12:Q$27, 2) + COUNTIF(Q$12:Q$27, "b")) = 1), "", ((COUNTIF(Q$12:Q$27, 2) + COUNTIF(Q$12:Q$27, "b")) &gt; 1), "ERROR", ((COUNTIF(Q$12:Q$27, 2) + COUNTIF(Q$12:Q$27, "b")) = 0), "y")</f>
        <v>y</v>
      </c>
      <c r="R30" s="11" t="str">
        <f t="shared" si="7"/>
        <v/>
      </c>
      <c r="S30" s="11" t="str">
        <f t="shared" si="7"/>
        <v>y</v>
      </c>
      <c r="T30" s="11" t="str">
        <f t="shared" si="7"/>
        <v/>
      </c>
      <c r="U30" s="11" t="str">
        <f t="shared" si="7"/>
        <v/>
      </c>
      <c r="V30" s="11" t="str">
        <f t="shared" si="7"/>
        <v/>
      </c>
      <c r="W30" s="11" t="str">
        <f t="shared" si="7"/>
        <v/>
      </c>
      <c r="X30" s="11" t="str">
        <f t="shared" si="7"/>
        <v>y</v>
      </c>
      <c r="Y30" s="11" t="str">
        <f t="shared" si="7"/>
        <v>y</v>
      </c>
      <c r="Z30" s="11" t="str">
        <f t="shared" si="7"/>
        <v>y</v>
      </c>
      <c r="AA30" s="11" t="str">
        <f t="shared" si="7"/>
        <v>y</v>
      </c>
      <c r="AB30" s="11" t="str">
        <f t="shared" si="7"/>
        <v>y</v>
      </c>
      <c r="AC30" s="11" t="str">
        <f t="shared" si="7"/>
        <v>y</v>
      </c>
      <c r="AD30" s="11" t="str">
        <f t="shared" si="7"/>
        <v>y</v>
      </c>
      <c r="AE30" s="11" t="str">
        <f t="shared" si="7"/>
        <v/>
      </c>
      <c r="AF30" s="11" t="str">
        <f t="shared" si="7"/>
        <v>y</v>
      </c>
      <c r="AG30" s="11" t="str">
        <f t="shared" si="7"/>
        <v>y</v>
      </c>
      <c r="AH30" s="11" t="str">
        <f t="shared" si="7"/>
        <v>y</v>
      </c>
      <c r="AI30" s="11" t="str">
        <f t="shared" si="7"/>
        <v>y</v>
      </c>
      <c r="AJ30" s="34"/>
    </row>
    <row r="31" spans="1:44" x14ac:dyDescent="0.3">
      <c r="A31">
        <v>20</v>
      </c>
      <c r="G31" s="34"/>
      <c r="AJ31" s="34"/>
    </row>
    <row r="32" spans="1:44" x14ac:dyDescent="0.3">
      <c r="G32" s="34"/>
      <c r="AJ32" s="34"/>
    </row>
    <row r="33" spans="7:36" x14ac:dyDescent="0.3">
      <c r="G33" s="34"/>
      <c r="AJ33" s="34"/>
    </row>
    <row r="34" spans="7:36" x14ac:dyDescent="0.3">
      <c r="G34" s="34"/>
      <c r="AJ34" s="34"/>
    </row>
    <row r="35" spans="7:36" x14ac:dyDescent="0.3">
      <c r="G35" s="34"/>
      <c r="AJ35" s="34"/>
    </row>
    <row r="36" spans="7:36" x14ac:dyDescent="0.3">
      <c r="G36" s="34"/>
      <c r="AJ36" s="34"/>
    </row>
  </sheetData>
  <mergeCells count="25">
    <mergeCell ref="X4:X11"/>
    <mergeCell ref="Y4:Y11"/>
    <mergeCell ref="Z4:Z11"/>
    <mergeCell ref="AI4:AI11"/>
    <mergeCell ref="S4:S11"/>
    <mergeCell ref="T4:T11"/>
    <mergeCell ref="U4:U11"/>
    <mergeCell ref="V4:V11"/>
    <mergeCell ref="W4:W11"/>
    <mergeCell ref="C1:F3"/>
    <mergeCell ref="C4:F4"/>
    <mergeCell ref="I3:AI3"/>
    <mergeCell ref="AC4:AC11"/>
    <mergeCell ref="AB4:AB11"/>
    <mergeCell ref="AA4:AA11"/>
    <mergeCell ref="N4:N11"/>
    <mergeCell ref="O4:O11"/>
    <mergeCell ref="AH4:AH11"/>
    <mergeCell ref="AG4:AG11"/>
    <mergeCell ref="AF4:AF11"/>
    <mergeCell ref="AE4:AE11"/>
    <mergeCell ref="AD4:AD11"/>
    <mergeCell ref="P4:P11"/>
    <mergeCell ref="Q4:Q11"/>
    <mergeCell ref="R4:R11"/>
  </mergeCells>
  <pageMargins left="0.5" right="0.5" top="0.5" bottom="0.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7115-698C-4335-8752-45A73AD4037C}">
  <dimension ref="A1:H38"/>
  <sheetViews>
    <sheetView zoomScale="70" zoomScaleNormal="70" workbookViewId="0"/>
  </sheetViews>
  <sheetFormatPr defaultRowHeight="14.4" x14ac:dyDescent="0.3"/>
  <cols>
    <col min="1" max="1" width="7.77734375" style="4" customWidth="1"/>
    <col min="2" max="3" width="25.77734375" customWidth="1"/>
    <col min="4" max="5" width="2.77734375" customWidth="1"/>
    <col min="6" max="6" width="7.77734375" style="4" customWidth="1"/>
    <col min="7" max="8" width="25.77734375" customWidth="1"/>
  </cols>
  <sheetData>
    <row r="1" spans="1:8" x14ac:dyDescent="0.3">
      <c r="A1" s="4" t="str">
        <f>"Afternoon Program List for Senior Cabins for " &amp; ACTIVITYKEY!C4</f>
        <v>Afternoon Program List for Senior Cabins for Monday, August 12, 2019</v>
      </c>
      <c r="E1" s="27"/>
      <c r="F1" s="4" t="str">
        <f xml:space="preserve"> IF(A1 = "", "",A1)</f>
        <v>Afternoon Program List for Senior Cabins for Monday, August 12, 2019</v>
      </c>
    </row>
    <row r="2" spans="1:8" x14ac:dyDescent="0.3">
      <c r="A2" s="40" t="s">
        <v>114</v>
      </c>
      <c r="B2" s="21" t="s">
        <v>106</v>
      </c>
      <c r="C2" s="1" t="s">
        <v>107</v>
      </c>
      <c r="E2" s="27"/>
      <c r="F2" s="40" t="str">
        <f t="shared" ref="F2:F18" si="0">IF(A2 = "", "", A2)</f>
        <v>Code</v>
      </c>
      <c r="G2" s="21" t="str">
        <f t="shared" ref="G2:G18" si="1">IF(B2 = "", "", B2)</f>
        <v>Period 1</v>
      </c>
      <c r="H2" s="1" t="str">
        <f t="shared" ref="H2:H18" si="2">IF(C2 = "", "", C2)</f>
        <v>Period 2</v>
      </c>
    </row>
    <row r="3" spans="1:8" x14ac:dyDescent="0.3">
      <c r="A3" s="41">
        <v>1</v>
      </c>
      <c r="B3" s="22" t="str">
        <f>IF(NOT(OR((ACTIVITYKEY!E12 = "j"), (ACTIVITYKEY!E12 = "N/A"), (ACTIVITYKEY!E12 = ""))), ACTIVITYKEY!$B12 &amp; " " &amp; ACTIVITYKEY!E12, "")</f>
        <v>[CABINS] Tubing 1, 11</v>
      </c>
      <c r="C3" t="str">
        <f>IF(NOT(OR((ACTIVITYKEY!F12 = "j"), (ACTIVITYKEY!F12 = "N/A"), (ACTIVITYKEY!F12 = ""))), ACTIVITYKEY!$B12 &amp; " " &amp; ACTIVITYKEY!F12, "")</f>
        <v>[CABINS] Tubing 2, 12</v>
      </c>
      <c r="E3" s="27"/>
      <c r="F3" s="41">
        <f t="shared" si="0"/>
        <v>1</v>
      </c>
      <c r="G3" s="22" t="str">
        <f t="shared" si="1"/>
        <v>[CABINS] Tubing 1, 11</v>
      </c>
      <c r="H3" t="str">
        <f t="shared" si="2"/>
        <v>[CABINS] Tubing 2, 12</v>
      </c>
    </row>
    <row r="4" spans="1:8" x14ac:dyDescent="0.3">
      <c r="A4" s="41">
        <v>2</v>
      </c>
      <c r="B4" s="22" t="str">
        <f>IF(NOT(OR((ACTIVITYKEY!E13 = "j"), (ACTIVITYKEY!E13 = "N/A"), (ACTIVITYKEY!E13 = ""))), ACTIVITYKEY!$B13, "")</f>
        <v>[All] Arts and Crafts</v>
      </c>
      <c r="C4" t="str">
        <f>IF(NOT(OR((ACTIVITYKEY!F13 = "j"), (ACTIVITYKEY!F13 = "N/A"), (ACTIVITYKEY!F13 = ""))), ACTIVITYKEY!$B13, "")</f>
        <v>[All] Arts and Crafts</v>
      </c>
      <c r="E4" s="27"/>
      <c r="F4" s="41">
        <f t="shared" si="0"/>
        <v>2</v>
      </c>
      <c r="G4" s="22" t="str">
        <f t="shared" si="1"/>
        <v>[All] Arts and Crafts</v>
      </c>
      <c r="H4" t="str">
        <f t="shared" si="2"/>
        <v>[All] Arts and Crafts</v>
      </c>
    </row>
    <row r="5" spans="1:8" x14ac:dyDescent="0.3">
      <c r="A5" s="41">
        <v>3</v>
      </c>
      <c r="B5" s="22" t="str">
        <f>IF(NOT(OR((ACTIVITYKEY!E14 = "j"), (ACTIVITYKEY!E14 = "N/A"), (ACTIVITYKEY!E14 = ""))), ACTIVITYKEY!$B14, "")</f>
        <v/>
      </c>
      <c r="C5" t="str">
        <f>IF(NOT(OR((ACTIVITYKEY!F14 = "j"), (ACTIVITYKEY!F14 = "N/A"), (ACTIVITYKEY!F14 = ""))), ACTIVITYKEY!$B14, "")</f>
        <v/>
      </c>
      <c r="E5" s="27"/>
      <c r="F5" s="41">
        <f t="shared" si="0"/>
        <v>3</v>
      </c>
      <c r="G5" s="22" t="str">
        <f t="shared" si="1"/>
        <v/>
      </c>
      <c r="H5" t="str">
        <f t="shared" si="2"/>
        <v/>
      </c>
    </row>
    <row r="6" spans="1:8" x14ac:dyDescent="0.3">
      <c r="A6" s="41">
        <v>4</v>
      </c>
      <c r="B6" s="22" t="str">
        <f>IF(NOT(OR((ACTIVITYKEY!E15 = "j"), (ACTIVITYKEY!E15 = "N/A"), (ACTIVITYKEY!E15 = ""))), ACTIVITYKEY!$B15, "")</f>
        <v>[All] Canoe/Kayak</v>
      </c>
      <c r="C6" t="str">
        <f>IF(NOT(OR((ACTIVITYKEY!F15 = "j"), (ACTIVITYKEY!F15 = "N/A"), (ACTIVITYKEY!F15 = ""))), ACTIVITYKEY!$B15, "")</f>
        <v>[All] Canoe/Kayak</v>
      </c>
      <c r="E6" s="27"/>
      <c r="F6" s="41">
        <f t="shared" si="0"/>
        <v>4</v>
      </c>
      <c r="G6" s="22" t="str">
        <f t="shared" si="1"/>
        <v>[All] Canoe/Kayak</v>
      </c>
      <c r="H6" t="str">
        <f t="shared" si="2"/>
        <v>[All] Canoe/Kayak</v>
      </c>
    </row>
    <row r="7" spans="1:8" x14ac:dyDescent="0.3">
      <c r="A7" s="41">
        <v>5</v>
      </c>
      <c r="B7" s="22" t="str">
        <f>IF(NOT(OR((ACTIVITYKEY!E16 = "j"), (ACTIVITYKEY!E16 = "N/A"), (ACTIVITYKEY!E16 = ""))), ACTIVITYKEY!$B16, "")</f>
        <v>[All] Free Swim</v>
      </c>
      <c r="C7" t="str">
        <f>IF(NOT(OR((ACTIVITYKEY!F16 = "j"), (ACTIVITYKEY!F16 = "N/A"), (ACTIVITYKEY!F16 = ""))), ACTIVITYKEY!$B16, "")</f>
        <v>[All] Free Swim</v>
      </c>
      <c r="E7" s="27"/>
      <c r="F7" s="41">
        <f t="shared" si="0"/>
        <v>5</v>
      </c>
      <c r="G7" s="22" t="str">
        <f t="shared" si="1"/>
        <v>[All] Free Swim</v>
      </c>
      <c r="H7" t="str">
        <f t="shared" si="2"/>
        <v>[All] Free Swim</v>
      </c>
    </row>
    <row r="8" spans="1:8" x14ac:dyDescent="0.3">
      <c r="A8" s="41">
        <v>6</v>
      </c>
      <c r="B8" s="22" t="str">
        <f>IF(NOT(OR((ACTIVITYKEY!E17 = "j"), (ACTIVITYKEY!E17 = "N/A"), (ACTIVITYKEY!E17 = ""))), ACTIVITYKEY!$B17, "")</f>
        <v>[All] Soccer</v>
      </c>
      <c r="C8" t="str">
        <f>IF(NOT(OR((ACTIVITYKEY!F17 = "j"), (ACTIVITYKEY!F17 = "N/A"), (ACTIVITYKEY!F17 = ""))), ACTIVITYKEY!$B17, "")</f>
        <v>[All] Soccer</v>
      </c>
      <c r="E8" s="27"/>
      <c r="F8" s="41">
        <f t="shared" si="0"/>
        <v>6</v>
      </c>
      <c r="G8" s="22" t="str">
        <f t="shared" si="1"/>
        <v>[All] Soccer</v>
      </c>
      <c r="H8" t="str">
        <f t="shared" si="2"/>
        <v>[All] Soccer</v>
      </c>
    </row>
    <row r="9" spans="1:8" x14ac:dyDescent="0.3">
      <c r="A9" s="41">
        <v>7</v>
      </c>
      <c r="B9" s="22" t="str">
        <f>IF(NOT(OR((ACTIVITYKEY!E18 = "j"), (ACTIVITYKEY!E18 = "N/A"), (ACTIVITYKEY!E18 = ""))), ACTIVITYKEY!$B18, "")</f>
        <v/>
      </c>
      <c r="C9" t="str">
        <f>IF(NOT(OR((ACTIVITYKEY!F18 = "j"), (ACTIVITYKEY!F18 = "N/A"), (ACTIVITYKEY!F18 = ""))), ACTIVITYKEY!$B18, "")</f>
        <v/>
      </c>
      <c r="E9" s="27"/>
      <c r="F9" s="41">
        <f t="shared" si="0"/>
        <v>7</v>
      </c>
      <c r="G9" s="22" t="str">
        <f t="shared" si="1"/>
        <v/>
      </c>
      <c r="H9" t="str">
        <f t="shared" si="2"/>
        <v/>
      </c>
    </row>
    <row r="10" spans="1:8" x14ac:dyDescent="0.3">
      <c r="A10" s="41">
        <v>8</v>
      </c>
      <c r="B10" s="22" t="str">
        <f>IF(NOT(OR((ACTIVITYKEY!E19 = "j"), (ACTIVITYKEY!E19 = "N/A"), (ACTIVITYKEY!E19 = ""))), ACTIVITYKEY!$B19, "")</f>
        <v/>
      </c>
      <c r="C10" t="str">
        <f>IF(NOT(OR((ACTIVITYKEY!F19 = "j"), (ACTIVITYKEY!F19 = "N/A"), (ACTIVITYKEY!F19 = ""))), ACTIVITYKEY!$B19, "")</f>
        <v/>
      </c>
      <c r="E10" s="27"/>
      <c r="F10" s="41">
        <f t="shared" si="0"/>
        <v>8</v>
      </c>
      <c r="G10" s="22" t="str">
        <f t="shared" si="1"/>
        <v/>
      </c>
      <c r="H10" t="str">
        <f t="shared" si="2"/>
        <v/>
      </c>
    </row>
    <row r="11" spans="1:8" x14ac:dyDescent="0.3">
      <c r="A11" s="41">
        <v>9</v>
      </c>
      <c r="B11" s="22" t="str">
        <f>IF(NOT(OR((ACTIVITYKEY!E20 = "j"), (ACTIVITYKEY!E20 = "N/A"), (ACTIVITYKEY!E20 = ""))), ACTIVITYKEY!$B20, "")</f>
        <v/>
      </c>
      <c r="C11" t="str">
        <f>IF(NOT(OR((ACTIVITYKEY!F20 = "j"), (ACTIVITYKEY!F20 = "N/A"), (ACTIVITYKEY!F20 = ""))), ACTIVITYKEY!$B20, "")</f>
        <v/>
      </c>
      <c r="E11" s="27"/>
      <c r="F11" s="41">
        <f t="shared" si="0"/>
        <v>9</v>
      </c>
      <c r="G11" s="22" t="str">
        <f t="shared" si="1"/>
        <v/>
      </c>
      <c r="H11" t="str">
        <f t="shared" si="2"/>
        <v/>
      </c>
    </row>
    <row r="12" spans="1:8" x14ac:dyDescent="0.3">
      <c r="A12" s="41">
        <v>10</v>
      </c>
      <c r="B12" s="22" t="str">
        <f>IF(NOT(OR((ACTIVITYKEY!E21 = "j"), (ACTIVITYKEY!E21 = "N/A"), (ACTIVITYKEY!E21 = ""))), ACTIVITYKEY!$B21, "")</f>
        <v>[J/S] Archery/Pellet Guns</v>
      </c>
      <c r="C12" t="str">
        <f>IF(NOT(OR((ACTIVITYKEY!F21 = "j"), (ACTIVITYKEY!F21 = "N/A"), (ACTIVITYKEY!F21 = ""))), ACTIVITYKEY!$B21, "")</f>
        <v/>
      </c>
      <c r="E12" s="27"/>
      <c r="F12" s="41">
        <f t="shared" si="0"/>
        <v>10</v>
      </c>
      <c r="G12" s="22" t="str">
        <f t="shared" si="1"/>
        <v>[J/S] Archery/Pellet Guns</v>
      </c>
      <c r="H12" t="str">
        <f t="shared" si="2"/>
        <v/>
      </c>
    </row>
    <row r="13" spans="1:8" x14ac:dyDescent="0.3">
      <c r="A13" s="41">
        <v>11</v>
      </c>
      <c r="B13" s="22" t="str">
        <f>IF(NOT(OR((ACTIVITYKEY!E22 = "j"), (ACTIVITYKEY!E22 = "N/A"), (ACTIVITYKEY!E22 = ""))), ACTIVITYKEY!$B22, "")</f>
        <v>[J/S] Aunt Saloma's Kitchen</v>
      </c>
      <c r="C13" t="str">
        <f>IF(NOT(OR((ACTIVITYKEY!F22 = "j"), (ACTIVITYKEY!F22 = "N/A"), (ACTIVITYKEY!F22 = ""))), ACTIVITYKEY!$B22, "")</f>
        <v/>
      </c>
      <c r="E13" s="27"/>
      <c r="F13" s="41">
        <f t="shared" si="0"/>
        <v>11</v>
      </c>
      <c r="G13" s="22" t="str">
        <f t="shared" si="1"/>
        <v>[J/S] Aunt Saloma's Kitchen</v>
      </c>
      <c r="H13" t="str">
        <f t="shared" si="2"/>
        <v/>
      </c>
    </row>
    <row r="14" spans="1:8" x14ac:dyDescent="0.3">
      <c r="A14" s="41">
        <v>12</v>
      </c>
      <c r="B14" s="22" t="str">
        <f>IF(NOT(OR((ACTIVITYKEY!E23 = "j"), (ACTIVITYKEY!E23 = "N/A"), (ACTIVITYKEY!E23 = ""))), ACTIVITYKEY!$B23, "")</f>
        <v/>
      </c>
      <c r="C14" t="str">
        <f>IF(NOT(OR((ACTIVITYKEY!F23 = "j"), (ACTIVITYKEY!F23 = "N/A"), (ACTIVITYKEY!F23 = ""))), ACTIVITYKEY!$B23, "")</f>
        <v>[J/S] Fishing</v>
      </c>
      <c r="E14" s="27"/>
      <c r="F14" s="41">
        <f t="shared" si="0"/>
        <v>12</v>
      </c>
      <c r="G14" s="22" t="str">
        <f t="shared" si="1"/>
        <v/>
      </c>
      <c r="H14" t="str">
        <f t="shared" si="2"/>
        <v>[J/S] Fishing</v>
      </c>
    </row>
    <row r="15" spans="1:8" x14ac:dyDescent="0.3">
      <c r="A15" s="41">
        <v>13</v>
      </c>
      <c r="B15" s="22" t="str">
        <f>IF(NOT(OR((ACTIVITYKEY!E24 = "j"), (ACTIVITYKEY!E24 = "N/A"), (ACTIVITYKEY!E24 = ""))), ACTIVITYKEY!$B24, "")</f>
        <v/>
      </c>
      <c r="C15" t="str">
        <f>IF(NOT(OR((ACTIVITYKEY!F24 = "j"), (ACTIVITYKEY!F24 = "N/A"), (ACTIVITYKEY!F24 = ""))), ACTIVITYKEY!$B24, "")</f>
        <v>[J/S] Rock Climbing</v>
      </c>
      <c r="E15" s="27"/>
      <c r="F15" s="41">
        <f t="shared" si="0"/>
        <v>13</v>
      </c>
      <c r="G15" s="22" t="str">
        <f t="shared" si="1"/>
        <v/>
      </c>
      <c r="H15" t="str">
        <f t="shared" si="2"/>
        <v>[J/S] Rock Climbing</v>
      </c>
    </row>
    <row r="16" spans="1:8" x14ac:dyDescent="0.3">
      <c r="A16" s="41">
        <v>14</v>
      </c>
      <c r="B16" s="22" t="str">
        <f>IF(NOT(OR((ACTIVITYKEY!E25 = "j"), (ACTIVITYKEY!E25 = "N/A"), (ACTIVITYKEY!E25 = ""))), ACTIVITYKEY!$B25, "")</f>
        <v/>
      </c>
      <c r="C16" t="str">
        <f>IF(NOT(OR((ACTIVITYKEY!F25 = "j"), (ACTIVITYKEY!F25 = "N/A"), (ACTIVITYKEY!F25 = ""))), ACTIVITYKEY!$B25, "")</f>
        <v/>
      </c>
      <c r="E16" s="27"/>
      <c r="F16" s="41">
        <f t="shared" si="0"/>
        <v>14</v>
      </c>
      <c r="G16" s="22" t="str">
        <f t="shared" si="1"/>
        <v/>
      </c>
      <c r="H16" t="str">
        <f t="shared" si="2"/>
        <v/>
      </c>
    </row>
    <row r="17" spans="1:8" x14ac:dyDescent="0.3">
      <c r="A17" s="41">
        <v>15</v>
      </c>
      <c r="B17" s="22" t="str">
        <f>IF(NOT(OR((ACTIVITYKEY!E26 = "j"), (ACTIVITYKEY!E26 = "N/A"), (ACTIVITYKEY!E26 = ""))), ACTIVITYKEY!$B26, "")</f>
        <v/>
      </c>
      <c r="C17" t="str">
        <f>IF(NOT(OR((ACTIVITYKEY!F26 = "j"), (ACTIVITYKEY!F26 = "N/A"), (ACTIVITYKEY!F26 = ""))), ACTIVITYKEY!$B26, "")</f>
        <v/>
      </c>
      <c r="E17" s="27"/>
      <c r="F17" s="41">
        <f t="shared" si="0"/>
        <v>15</v>
      </c>
      <c r="G17" s="22" t="str">
        <f t="shared" si="1"/>
        <v/>
      </c>
      <c r="H17" t="str">
        <f t="shared" si="2"/>
        <v/>
      </c>
    </row>
    <row r="18" spans="1:8" x14ac:dyDescent="0.3">
      <c r="A18" s="41">
        <v>16</v>
      </c>
      <c r="B18" s="22" t="str">
        <f>IF(NOT(OR((ACTIVITYKEY!E27 = "j"), (ACTIVITYKEY!E27 = "N/A"), (ACTIVITYKEY!E27 = ""))), ACTIVITYKEY!$B27, "")</f>
        <v/>
      </c>
      <c r="C18" t="str">
        <f>IF(NOT(OR((ACTIVITYKEY!F27 = "j"), (ACTIVITYKEY!F27 = "N/A"), (ACTIVITYKEY!F27 = ""))), ACTIVITYKEY!$B27, "")</f>
        <v/>
      </c>
      <c r="E18" s="27"/>
      <c r="F18" s="41">
        <f t="shared" si="0"/>
        <v>16</v>
      </c>
      <c r="G18" s="22" t="str">
        <f t="shared" si="1"/>
        <v/>
      </c>
      <c r="H18" t="str">
        <f t="shared" si="2"/>
        <v/>
      </c>
    </row>
    <row r="19" spans="1:8" ht="4.95" customHeight="1" x14ac:dyDescent="0.3">
      <c r="A19" s="42"/>
      <c r="B19" s="26"/>
      <c r="C19" s="26"/>
      <c r="D19" s="26"/>
      <c r="E19" s="43"/>
      <c r="F19" s="42"/>
      <c r="G19" s="26"/>
      <c r="H19" s="26"/>
    </row>
    <row r="20" spans="1:8" ht="4.95" customHeight="1" x14ac:dyDescent="0.3">
      <c r="E20" s="27"/>
      <c r="F20" s="4" t="str">
        <f>IF(A20 = "", "", A20)</f>
        <v/>
      </c>
      <c r="G20" t="str">
        <f>IF(B20 = "", "", B20)</f>
        <v/>
      </c>
      <c r="H20" t="str">
        <f>IF(C20 = "", "", C20)</f>
        <v/>
      </c>
    </row>
    <row r="21" spans="1:8" x14ac:dyDescent="0.3">
      <c r="A21" s="4" t="str">
        <f>"Afternoon Program List for Junior Cabins for " &amp; ACTIVITYKEY!C4</f>
        <v>Afternoon Program List for Junior Cabins for Monday, August 12, 2019</v>
      </c>
      <c r="E21" s="27"/>
      <c r="F21" s="4" t="str">
        <f xml:space="preserve"> IF(A21 = "", "",A21)</f>
        <v>Afternoon Program List for Junior Cabins for Monday, August 12, 2019</v>
      </c>
    </row>
    <row r="22" spans="1:8" x14ac:dyDescent="0.3">
      <c r="A22" s="40" t="s">
        <v>114</v>
      </c>
      <c r="B22" s="1" t="s">
        <v>106</v>
      </c>
      <c r="C22" s="1" t="s">
        <v>107</v>
      </c>
      <c r="E22" s="27"/>
      <c r="F22" s="40" t="str">
        <f t="shared" ref="F22:F38" si="3">IF(A22 = "", "", A22)</f>
        <v>Code</v>
      </c>
      <c r="G22" s="1" t="str">
        <f t="shared" ref="G22:G38" si="4">IF(B22 = "", "", B22)</f>
        <v>Period 1</v>
      </c>
      <c r="H22" s="1" t="str">
        <f t="shared" ref="H22:H38" si="5">IF(C22 = "", "", C22)</f>
        <v>Period 2</v>
      </c>
    </row>
    <row r="23" spans="1:8" x14ac:dyDescent="0.3">
      <c r="A23" s="41">
        <v>1</v>
      </c>
      <c r="B23" t="str">
        <f>IF(NOT(OR((ACTIVITYKEY!E12 = "s"), (ACTIVITYKEY!E12 = "N/A"), (ACTIVITYKEY!E12 = ""))), ACTIVITYKEY!$B12 &amp; " " &amp; ACTIVITYKEY!E12, "")</f>
        <v>[CABINS] Tubing 1, 11</v>
      </c>
      <c r="C23" t="str">
        <f>IF(NOT(OR((ACTIVITYKEY!F12 = "s"), (ACTIVITYKEY!F12 = "N/A"), (ACTIVITYKEY!F12 = ""))), ACTIVITYKEY!$B12 &amp; " " &amp; ACTIVITYKEY!F12, "")</f>
        <v>[CABINS] Tubing 2, 12</v>
      </c>
      <c r="E23" s="27"/>
      <c r="F23" s="41">
        <f t="shared" si="3"/>
        <v>1</v>
      </c>
      <c r="G23" t="str">
        <f t="shared" si="4"/>
        <v>[CABINS] Tubing 1, 11</v>
      </c>
      <c r="H23" t="str">
        <f t="shared" si="5"/>
        <v>[CABINS] Tubing 2, 12</v>
      </c>
    </row>
    <row r="24" spans="1:8" x14ac:dyDescent="0.3">
      <c r="A24" s="41">
        <v>2</v>
      </c>
      <c r="B24" t="str">
        <f>IF(NOT(OR((ACTIVITYKEY!E13 = "s"), (ACTIVITYKEY!E13 = "N/A"), (ACTIVITYKEY!E13 = ""))), ACTIVITYKEY!$B13, "")</f>
        <v>[All] Arts and Crafts</v>
      </c>
      <c r="C24" t="str">
        <f>IF(NOT(OR((ACTIVITYKEY!F13 = "s"), (ACTIVITYKEY!F13 = "N/A"), (ACTIVITYKEY!F13 = ""))), ACTIVITYKEY!$B13, "")</f>
        <v>[All] Arts and Crafts</v>
      </c>
      <c r="E24" s="27"/>
      <c r="F24" s="41">
        <f t="shared" si="3"/>
        <v>2</v>
      </c>
      <c r="G24" t="str">
        <f t="shared" si="4"/>
        <v>[All] Arts and Crafts</v>
      </c>
      <c r="H24" t="str">
        <f t="shared" si="5"/>
        <v>[All] Arts and Crafts</v>
      </c>
    </row>
    <row r="25" spans="1:8" x14ac:dyDescent="0.3">
      <c r="A25" s="41">
        <v>3</v>
      </c>
      <c r="B25" t="str">
        <f>IF(NOT(OR((ACTIVITYKEY!E14 = "s"), (ACTIVITYKEY!E14 = "N/A"), (ACTIVITYKEY!E14 = ""))), ACTIVITYKEY!$B14, "")</f>
        <v/>
      </c>
      <c r="C25" t="str">
        <f>IF(NOT(OR((ACTIVITYKEY!F14 = "s"), (ACTIVITYKEY!F14 = "N/A"), (ACTIVITYKEY!F14 = ""))), ACTIVITYKEY!$B14, "")</f>
        <v/>
      </c>
      <c r="E25" s="27"/>
      <c r="F25" s="41">
        <f t="shared" si="3"/>
        <v>3</v>
      </c>
      <c r="G25" t="str">
        <f t="shared" si="4"/>
        <v/>
      </c>
      <c r="H25" t="str">
        <f t="shared" si="5"/>
        <v/>
      </c>
    </row>
    <row r="26" spans="1:8" x14ac:dyDescent="0.3">
      <c r="A26" s="41">
        <v>4</v>
      </c>
      <c r="B26" t="str">
        <f>IF(NOT(OR((ACTIVITYKEY!E15 = "s"), (ACTIVITYKEY!E15 = "N/A"), (ACTIVITYKEY!E15 = ""))), ACTIVITYKEY!$B15, "")</f>
        <v>[All] Canoe/Kayak</v>
      </c>
      <c r="C26" t="str">
        <f>IF(NOT(OR((ACTIVITYKEY!F15 = "s"), (ACTIVITYKEY!F15 = "N/A"), (ACTIVITYKEY!F15 = ""))), ACTIVITYKEY!$B15, "")</f>
        <v>[All] Canoe/Kayak</v>
      </c>
      <c r="E26" s="27"/>
      <c r="F26" s="41">
        <f t="shared" si="3"/>
        <v>4</v>
      </c>
      <c r="G26" t="str">
        <f t="shared" si="4"/>
        <v>[All] Canoe/Kayak</v>
      </c>
      <c r="H26" t="str">
        <f t="shared" si="5"/>
        <v>[All] Canoe/Kayak</v>
      </c>
    </row>
    <row r="27" spans="1:8" x14ac:dyDescent="0.3">
      <c r="A27" s="41">
        <v>5</v>
      </c>
      <c r="B27" t="str">
        <f>IF(NOT(OR((ACTIVITYKEY!E16 = "s"), (ACTIVITYKEY!E16 = "N/A"), (ACTIVITYKEY!E16 = ""))), ACTIVITYKEY!$B16, "")</f>
        <v>[All] Free Swim</v>
      </c>
      <c r="C27" t="str">
        <f>IF(NOT(OR((ACTIVITYKEY!F16 = "s"), (ACTIVITYKEY!F16 = "N/A"), (ACTIVITYKEY!F16 = ""))), ACTIVITYKEY!$B16, "")</f>
        <v>[All] Free Swim</v>
      </c>
      <c r="E27" s="27"/>
      <c r="F27" s="41">
        <f t="shared" si="3"/>
        <v>5</v>
      </c>
      <c r="G27" t="str">
        <f t="shared" si="4"/>
        <v>[All] Free Swim</v>
      </c>
      <c r="H27" t="str">
        <f t="shared" si="5"/>
        <v>[All] Free Swim</v>
      </c>
    </row>
    <row r="28" spans="1:8" x14ac:dyDescent="0.3">
      <c r="A28" s="41">
        <v>6</v>
      </c>
      <c r="B28" t="str">
        <f>IF(NOT(OR((ACTIVITYKEY!E17 = "s"), (ACTIVITYKEY!E17 = "N/A"), (ACTIVITYKEY!E17 = ""))), ACTIVITYKEY!$B17, "")</f>
        <v>[All] Soccer</v>
      </c>
      <c r="C28" t="str">
        <f>IF(NOT(OR((ACTIVITYKEY!F17 = "s"), (ACTIVITYKEY!F17 = "N/A"), (ACTIVITYKEY!F17 = ""))), ACTIVITYKEY!$B17, "")</f>
        <v>[All] Soccer</v>
      </c>
      <c r="E28" s="27"/>
      <c r="F28" s="41">
        <f t="shared" si="3"/>
        <v>6</v>
      </c>
      <c r="G28" t="str">
        <f t="shared" si="4"/>
        <v>[All] Soccer</v>
      </c>
      <c r="H28" t="str">
        <f t="shared" si="5"/>
        <v>[All] Soccer</v>
      </c>
    </row>
    <row r="29" spans="1:8" x14ac:dyDescent="0.3">
      <c r="A29" s="41">
        <v>7</v>
      </c>
      <c r="B29" t="str">
        <f>IF(NOT(OR((ACTIVITYKEY!E18 = "s"), (ACTIVITYKEY!E18 = "N/A"), (ACTIVITYKEY!E18 = ""))), ACTIVITYKEY!$B18, "")</f>
        <v/>
      </c>
      <c r="C29" t="str">
        <f>IF(NOT(OR((ACTIVITYKEY!F18 = "s"), (ACTIVITYKEY!F18 = "N/A"), (ACTIVITYKEY!F18 = ""))), ACTIVITYKEY!$B18, "")</f>
        <v>[All] Frog Hunting</v>
      </c>
      <c r="E29" s="27"/>
      <c r="F29" s="41">
        <f t="shared" si="3"/>
        <v>7</v>
      </c>
      <c r="G29" t="str">
        <f t="shared" si="4"/>
        <v/>
      </c>
      <c r="H29" t="str">
        <f t="shared" si="5"/>
        <v>[All] Frog Hunting</v>
      </c>
    </row>
    <row r="30" spans="1:8" x14ac:dyDescent="0.3">
      <c r="A30" s="41">
        <v>8</v>
      </c>
      <c r="B30" t="str">
        <f>IF(NOT(OR((ACTIVITYKEY!E19 = "s"), (ACTIVITYKEY!E19 = "N/A"), (ACTIVITYKEY!E19 = ""))), ACTIVITYKEY!$B19, "")</f>
        <v/>
      </c>
      <c r="C30" t="str">
        <f>IF(NOT(OR((ACTIVITYKEY!F19 = "s"), (ACTIVITYKEY!F19 = "N/A"), (ACTIVITYKEY!F19 = ""))), ACTIVITYKEY!$B19, "")</f>
        <v/>
      </c>
      <c r="E30" s="27"/>
      <c r="F30" s="41">
        <f t="shared" si="3"/>
        <v>8</v>
      </c>
      <c r="G30" t="str">
        <f t="shared" si="4"/>
        <v/>
      </c>
      <c r="H30" t="str">
        <f t="shared" si="5"/>
        <v/>
      </c>
    </row>
    <row r="31" spans="1:8" x14ac:dyDescent="0.3">
      <c r="A31" s="41">
        <v>9</v>
      </c>
      <c r="B31" t="str">
        <f>IF(NOT(OR((ACTIVITYKEY!E20 = "s"), (ACTIVITYKEY!E20 = "N/A"), (ACTIVITYKEY!E20 = ""))), ACTIVITYKEY!$B20, "")</f>
        <v/>
      </c>
      <c r="C31" t="str">
        <f>IF(NOT(OR((ACTIVITYKEY!F20 = "s"), (ACTIVITYKEY!F20 = "N/A"), (ACTIVITYKEY!F20 = ""))), ACTIVITYKEY!$B20, "")</f>
        <v/>
      </c>
      <c r="E31" s="27"/>
      <c r="F31" s="41">
        <f t="shared" si="3"/>
        <v>9</v>
      </c>
      <c r="G31" t="str">
        <f t="shared" si="4"/>
        <v/>
      </c>
      <c r="H31" t="str">
        <f t="shared" si="5"/>
        <v/>
      </c>
    </row>
    <row r="32" spans="1:8" x14ac:dyDescent="0.3">
      <c r="A32" s="41">
        <v>10</v>
      </c>
      <c r="B32" t="str">
        <f>IF(NOT(OR((ACTIVITYKEY!E21 = "s"), (ACTIVITYKEY!E21 = "N/A"), (ACTIVITYKEY!E21 = ""))), ACTIVITYKEY!$B21, "")</f>
        <v/>
      </c>
      <c r="C32" t="str">
        <f>IF(NOT(OR((ACTIVITYKEY!F21 = "s"), (ACTIVITYKEY!F21 = "N/A"), (ACTIVITYKEY!F21 = ""))), ACTIVITYKEY!$B21, "")</f>
        <v>[J/S] Archery/Pellet Guns</v>
      </c>
      <c r="E32" s="27"/>
      <c r="F32" s="41">
        <f t="shared" si="3"/>
        <v>10</v>
      </c>
      <c r="G32" t="str">
        <f t="shared" si="4"/>
        <v/>
      </c>
      <c r="H32" t="str">
        <f t="shared" si="5"/>
        <v>[J/S] Archery/Pellet Guns</v>
      </c>
    </row>
    <row r="33" spans="1:8" x14ac:dyDescent="0.3">
      <c r="A33" s="41">
        <v>11</v>
      </c>
      <c r="B33" t="str">
        <f>IF(NOT(OR((ACTIVITYKEY!E22 = "s"), (ACTIVITYKEY!E22 = "N/A"), (ACTIVITYKEY!E22 = ""))), ACTIVITYKEY!$B22, "")</f>
        <v/>
      </c>
      <c r="C33" t="str">
        <f>IF(NOT(OR((ACTIVITYKEY!F22 = "s"), (ACTIVITYKEY!F22 = "N/A"), (ACTIVITYKEY!F22 = ""))), ACTIVITYKEY!$B22, "")</f>
        <v/>
      </c>
      <c r="E33" s="27"/>
      <c r="F33" s="41">
        <f t="shared" si="3"/>
        <v>11</v>
      </c>
      <c r="G33" t="str">
        <f t="shared" si="4"/>
        <v/>
      </c>
      <c r="H33" t="str">
        <f t="shared" si="5"/>
        <v/>
      </c>
    </row>
    <row r="34" spans="1:8" x14ac:dyDescent="0.3">
      <c r="A34" s="41">
        <v>12</v>
      </c>
      <c r="B34" t="str">
        <f>IF(NOT(OR((ACTIVITYKEY!E23 = "s"), (ACTIVITYKEY!E23 = "N/A"), (ACTIVITYKEY!E23 = ""))), ACTIVITYKEY!$B23, "")</f>
        <v>[J/S] Fishing</v>
      </c>
      <c r="C34" t="str">
        <f>IF(NOT(OR((ACTIVITYKEY!F23 = "s"), (ACTIVITYKEY!F23 = "N/A"), (ACTIVITYKEY!F23 = ""))), ACTIVITYKEY!$B23, "")</f>
        <v/>
      </c>
      <c r="E34" s="27"/>
      <c r="F34" s="41">
        <f t="shared" si="3"/>
        <v>12</v>
      </c>
      <c r="G34" t="str">
        <f t="shared" si="4"/>
        <v>[J/S] Fishing</v>
      </c>
      <c r="H34" t="str">
        <f t="shared" si="5"/>
        <v/>
      </c>
    </row>
    <row r="35" spans="1:8" x14ac:dyDescent="0.3">
      <c r="A35" s="41">
        <v>13</v>
      </c>
      <c r="B35" t="str">
        <f>IF(NOT(OR((ACTIVITYKEY!E24 = "s"), (ACTIVITYKEY!E24 = "N/A"), (ACTIVITYKEY!E24 = ""))), ACTIVITYKEY!$B24, "")</f>
        <v>[J/S] Rock Climbing</v>
      </c>
      <c r="C35" t="str">
        <f>IF(NOT(OR((ACTIVITYKEY!F24 = "s"), (ACTIVITYKEY!F24 = "N/A"), (ACTIVITYKEY!F24 = ""))), ACTIVITYKEY!$B24, "")</f>
        <v/>
      </c>
      <c r="E35" s="27"/>
      <c r="F35" s="41">
        <f t="shared" si="3"/>
        <v>13</v>
      </c>
      <c r="G35" t="str">
        <f t="shared" si="4"/>
        <v>[J/S] Rock Climbing</v>
      </c>
      <c r="H35" t="str">
        <f t="shared" si="5"/>
        <v/>
      </c>
    </row>
    <row r="36" spans="1:8" x14ac:dyDescent="0.3">
      <c r="A36" s="41">
        <v>14</v>
      </c>
      <c r="B36" t="str">
        <f>IF(NOT(OR((ACTIVITYKEY!E25 = "s"), (ACTIVITYKEY!E25 = "N/A"), (ACTIVITYKEY!E25 = ""))), ACTIVITYKEY!$B25, "")</f>
        <v/>
      </c>
      <c r="C36" t="str">
        <f>IF(NOT(OR((ACTIVITYKEY!F25 = "s"), (ACTIVITYKEY!F25 = "N/A"), (ACTIVITYKEY!F25 = ""))), ACTIVITYKEY!$B25, "")</f>
        <v/>
      </c>
      <c r="E36" s="27"/>
      <c r="F36" s="41">
        <f t="shared" si="3"/>
        <v>14</v>
      </c>
      <c r="G36" t="str">
        <f t="shared" si="4"/>
        <v/>
      </c>
      <c r="H36" t="str">
        <f t="shared" si="5"/>
        <v/>
      </c>
    </row>
    <row r="37" spans="1:8" x14ac:dyDescent="0.3">
      <c r="A37" s="41">
        <v>15</v>
      </c>
      <c r="B37" t="str">
        <f>IF(NOT(OR((ACTIVITYKEY!E26 = "s"), (ACTIVITYKEY!E26 = "N/A"), (ACTIVITYKEY!E26 = ""))), ACTIVITYKEY!$B26, "")</f>
        <v/>
      </c>
      <c r="C37" t="str">
        <f>IF(NOT(OR((ACTIVITYKEY!F26 = "s"), (ACTIVITYKEY!F26 = "N/A"), (ACTIVITYKEY!F26 = ""))), ACTIVITYKEY!$B26, "")</f>
        <v/>
      </c>
      <c r="E37" s="27"/>
      <c r="F37" s="41">
        <f t="shared" si="3"/>
        <v>15</v>
      </c>
      <c r="G37" t="str">
        <f t="shared" si="4"/>
        <v/>
      </c>
      <c r="H37" t="str">
        <f t="shared" si="5"/>
        <v/>
      </c>
    </row>
    <row r="38" spans="1:8" x14ac:dyDescent="0.3">
      <c r="A38" s="41">
        <v>16</v>
      </c>
      <c r="B38" t="str">
        <f>IF(NOT(OR((ACTIVITYKEY!E27 = "s"), (ACTIVITYKEY!E27 = "N/A"), (ACTIVITYKEY!E27 = ""))), ACTIVITYKEY!$B27, "")</f>
        <v/>
      </c>
      <c r="C38" t="str">
        <f>IF(NOT(OR((ACTIVITYKEY!F27 = "s"), (ACTIVITYKEY!F27 = "N/A"), (ACTIVITYKEY!F27 = ""))), ACTIVITYKEY!$B27, "")</f>
        <v/>
      </c>
      <c r="E38" s="27"/>
      <c r="F38" s="41">
        <f t="shared" si="3"/>
        <v>16</v>
      </c>
      <c r="G38" t="str">
        <f t="shared" si="4"/>
        <v/>
      </c>
      <c r="H38" t="str">
        <f t="shared" si="5"/>
        <v/>
      </c>
    </row>
  </sheetData>
  <pageMargins left="0.5" right="0.5" top="0.5" bottom="0.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C0575-F0F7-484B-85EA-2CA369527ADC}">
  <sheetPr codeName="Sheet9"/>
  <dimension ref="A1:Y134"/>
  <sheetViews>
    <sheetView zoomScale="70" zoomScaleNormal="70" workbookViewId="0"/>
  </sheetViews>
  <sheetFormatPr defaultRowHeight="14.4" x14ac:dyDescent="0.3"/>
  <cols>
    <col min="1" max="1" width="7.77734375" style="4" customWidth="1"/>
    <col min="2" max="3" width="5.77734375" style="4" customWidth="1"/>
    <col min="4" max="5" width="15.77734375" style="4" customWidth="1"/>
    <col min="6" max="6" width="7.77734375" style="4" customWidth="1"/>
    <col min="7" max="10" width="3.77734375" style="4" customWidth="1"/>
    <col min="11" max="12" width="20.77734375" style="4" customWidth="1"/>
    <col min="13" max="13" width="6.77734375" style="4" customWidth="1"/>
    <col min="14" max="14" width="7.77734375" style="4" customWidth="1"/>
    <col min="15" max="16" width="5.77734375" style="4" customWidth="1"/>
    <col min="17" max="18" width="15.77734375" style="4" customWidth="1"/>
    <col min="19" max="19" width="7.77734375" style="4" customWidth="1"/>
    <col min="20" max="23" width="3.77734375" style="4" customWidth="1"/>
    <col min="24" max="25" width="20.77734375" style="4" customWidth="1"/>
  </cols>
  <sheetData>
    <row r="1" spans="1:25" s="3" customFormat="1" ht="28.8" x14ac:dyDescent="0.3">
      <c r="A1" s="16" t="s">
        <v>0</v>
      </c>
      <c r="B1" s="16" t="s">
        <v>1</v>
      </c>
      <c r="C1" s="16" t="s">
        <v>76</v>
      </c>
      <c r="D1" s="16" t="s">
        <v>2</v>
      </c>
      <c r="E1" s="16" t="s">
        <v>3</v>
      </c>
      <c r="F1" s="16" t="s">
        <v>16</v>
      </c>
      <c r="G1" s="16" t="s">
        <v>311</v>
      </c>
      <c r="H1" s="16" t="s">
        <v>312</v>
      </c>
      <c r="I1" s="16" t="s">
        <v>313</v>
      </c>
      <c r="J1" s="16" t="s">
        <v>314</v>
      </c>
      <c r="K1" s="16" t="s">
        <v>87</v>
      </c>
      <c r="L1" s="16" t="s">
        <v>88</v>
      </c>
      <c r="M1" s="16"/>
      <c r="N1" s="16" t="s">
        <v>0</v>
      </c>
      <c r="O1" s="16" t="s">
        <v>1</v>
      </c>
      <c r="P1" s="16" t="s">
        <v>76</v>
      </c>
      <c r="Q1" s="16" t="s">
        <v>2</v>
      </c>
      <c r="R1" s="16" t="s">
        <v>3</v>
      </c>
      <c r="S1" s="16" t="s">
        <v>16</v>
      </c>
      <c r="T1" s="16" t="s">
        <v>311</v>
      </c>
      <c r="U1" s="16" t="s">
        <v>312</v>
      </c>
      <c r="V1" s="16" t="s">
        <v>313</v>
      </c>
      <c r="W1" s="16" t="s">
        <v>314</v>
      </c>
      <c r="X1" s="16" t="s">
        <v>87</v>
      </c>
      <c r="Y1" s="16" t="s">
        <v>88</v>
      </c>
    </row>
    <row r="2" spans="1:25" x14ac:dyDescent="0.3">
      <c r="A2" s="4">
        <v>101</v>
      </c>
      <c r="B2" s="4">
        <f>IF(LOOKUP($A2, ALLCAMPERS!$A$11:$A$311, ALLCAMPERS!B$11:B$311) = 0, "", LOOKUP($A2, ALLCAMPERS!$A$11:$A$311, ALLCAMPERS!B$11:B$311))</f>
        <v>1</v>
      </c>
      <c r="C2" s="4">
        <f>IF(LOOKUP($A2, ALLCAMPERS!$A$11:$A$311, ALLCAMPERS!C$11:C$311) = 0, "", LOOKUP($A2, ALLCAMPERS!$A$11:$A$311, ALLCAMPERS!C$11:C$311))</f>
        <v>1</v>
      </c>
      <c r="D2" s="4" t="str">
        <f>IF(LOOKUP($A2, ALLCAMPERS!$A$11:$A$311, ALLCAMPERS!D$11:D$311) = 0, "", LOOKUP($A2, ALLCAMPERS!$A$11:$A$311, ALLCAMPERS!D$11:D$311))</f>
        <v>Celia</v>
      </c>
      <c r="E2" s="4" t="str">
        <f>IF(LOOKUP($A2, ALLCAMPERS!$A$11:$A$311, ALLCAMPERS!E$11:E$311) = 0, "", LOOKUP($A2, ALLCAMPERS!$A$11:$A$311, ALLCAMPERS!E$11:E$311))</f>
        <v>ABOUASSALI</v>
      </c>
      <c r="F2" s="4" t="str">
        <f>IF(LOOKUP($A2, ALLCAMPERS!$A$11:$A$311, ALLCAMPERS!F$11:F$311) = 0, "", LOOKUP($A2, ALLCAMPERS!$A$11:$A$311, ALLCAMPERS!F$11:F$311))</f>
        <v/>
      </c>
      <c r="G2" s="4">
        <f>IF(LOOKUP($A2, ALLCAMPERS!$A$11:$A$311, ALLCAMPERS!G$11:G$311) = 0, "", LOOKUP($A2, ALLCAMPERS!$A$11:$A$311, ALLCAMPERS!G$11:G$311))</f>
        <v>6</v>
      </c>
      <c r="H2" s="4">
        <f>IF(LOOKUP($A2, ALLCAMPERS!$A$11:$A$311, ALLCAMPERS!H$11:H$311) = 0, "", LOOKUP($A2, ALLCAMPERS!$A$11:$A$311, ALLCAMPERS!H$11:H$311))</f>
        <v>7</v>
      </c>
      <c r="I2" s="4">
        <f>IF(LOOKUP($A2, ALLCAMPERS!$A$11:$A$311, ALLCAMPERS!I$11:I$311) = 0, "", LOOKUP($A2, ALLCAMPERS!$A$11:$A$311, ALLCAMPERS!I$11:I$311))</f>
        <v>3</v>
      </c>
      <c r="J2" s="4">
        <f>IF(LOOKUP($A2, ALLCAMPERS!$A$11:$A$311, ALLCAMPERS!J$11:J$311) = 0, "", LOOKUP($A2, ALLCAMPERS!$A$11:$A$311, ALLCAMPERS!J$11:J$311))</f>
        <v>4</v>
      </c>
      <c r="K2" s="4" t="str">
        <f>IF(LOOKUP($A2, ALLCAMPERS!$A$11:$A$311, ALLCAMPERS!K$11:K$311) = 0, "", LOOKUP($A2, ALLCAMPERS!$A$11:$A$311, ALLCAMPERS!K$11:K$311))</f>
        <v/>
      </c>
      <c r="L2" s="4" t="str">
        <f>IF(LOOKUP($A2, ALLCAMPERS!$A$11:$A$311, ALLCAMPERS!L$11:L$311) = 0, "", LOOKUP($A2, ALLCAMPERS!$A$11:$A$311, ALLCAMPERS!L$11:L$311))</f>
        <v/>
      </c>
      <c r="N2" s="4">
        <f>A2+1000</f>
        <v>1101</v>
      </c>
      <c r="O2" s="4">
        <f>IF(LOOKUP($N2, ALLCAMPERS!$A$11:$A$311, ALLCAMPERS!B$11:B$311) = 0, "", LOOKUP($N2, ALLCAMPERS!$A$11:$A$311, ALLCAMPERS!B$11:B$311))</f>
        <v>11</v>
      </c>
      <c r="P2" s="4">
        <f>IF(LOOKUP($N2, ALLCAMPERS!$A$11:$A$311, ALLCAMPERS!C$11:C$311) = 0, "", LOOKUP($N2, ALLCAMPERS!$A$11:$A$311, ALLCAMPERS!C$11:C$311))</f>
        <v>1</v>
      </c>
      <c r="Q2" s="4" t="str">
        <f>IF(LOOKUP($N2, ALLCAMPERS!$A$11:$A$311, ALLCAMPERS!D$11:D$311) = 0, "", LOOKUP($N2, ALLCAMPERS!$A$11:$A$311, ALLCAMPERS!D$11:D$311))</f>
        <v>Ibrahim</v>
      </c>
      <c r="R2" s="4" t="str">
        <f>IF(LOOKUP($N2, ALLCAMPERS!$A$11:$A$311, ALLCAMPERS!E$11:E$311) = 0, "", LOOKUP($N2, ALLCAMPERS!$A$11:$A$311, ALLCAMPERS!E$11:E$311))</f>
        <v>ABBOUD</v>
      </c>
      <c r="S2" s="4" t="str">
        <f>IF(LOOKUP($N2, ALLCAMPERS!$A$11:$A$311, ALLCAMPERS!F$11:F$311) = 0, "", LOOKUP($N2, ALLCAMPERS!$A$11:$A$311, ALLCAMPERS!F$11:F$311))</f>
        <v/>
      </c>
      <c r="T2" s="4">
        <f>IF(LOOKUP($N2, ALLCAMPERS!$A$11:$A$311, ALLCAMPERS!G$11:G$311) = 0, "", LOOKUP($N2, ALLCAMPERS!$A$11:$A$311, ALLCAMPERS!G$11:G$311))</f>
        <v>2</v>
      </c>
      <c r="U2" s="4">
        <f>IF(LOOKUP($N2, ALLCAMPERS!$A$11:$A$311, ALLCAMPERS!H$11:H$311) = 0, "", LOOKUP($N2, ALLCAMPERS!$A$11:$A$311, ALLCAMPERS!H$11:H$311))</f>
        <v>2</v>
      </c>
      <c r="V2" s="4">
        <f>IF(LOOKUP($N2, ALLCAMPERS!$A$11:$A$311, ALLCAMPERS!I$11:I$311) = 0, "", LOOKUP($N2, ALLCAMPERS!$A$11:$A$311, ALLCAMPERS!I$11:I$311))</f>
        <v>7</v>
      </c>
      <c r="W2" s="4">
        <f>IF(LOOKUP($N2, ALLCAMPERS!$A$11:$A$311, ALLCAMPERS!J$11:J$311) = 0, "", LOOKUP($N2, ALLCAMPERS!$A$11:$A$311, ALLCAMPERS!J$11:J$311))</f>
        <v>6</v>
      </c>
      <c r="X2" s="4" t="str">
        <f>IF(LOOKUP($N2, ALLCAMPERS!$A$11:$A$311, ALLCAMPERS!K$11:K$311) = 0, "", LOOKUP($N2, ALLCAMPERS!$A$11:$A$311, ALLCAMPERS!K$11:K$311))</f>
        <v/>
      </c>
      <c r="Y2" s="4" t="str">
        <f>IF(LOOKUP($N2, ALLCAMPERS!$A$11:$A$311, ALLCAMPERS!L$11:L$311) = 0, "", LOOKUP($N2, ALLCAMPERS!$A$11:$A$311, ALLCAMPERS!L$11:L$311))</f>
        <v/>
      </c>
    </row>
    <row r="3" spans="1:25" x14ac:dyDescent="0.3">
      <c r="A3" s="4">
        <f>A2+1</f>
        <v>102</v>
      </c>
      <c r="B3" s="4">
        <f>IF(LOOKUP($A3, ALLCAMPERS!$A$11:$A$311, ALLCAMPERS!B$11:B$311) = 0, "", LOOKUP($A3, ALLCAMPERS!$A$11:$A$311, ALLCAMPERS!B$11:B$311))</f>
        <v>1</v>
      </c>
      <c r="C3" s="4">
        <f>IF(LOOKUP($A3, ALLCAMPERS!$A$11:$A$311, ALLCAMPERS!C$11:C$311) = 0, "", LOOKUP($A3, ALLCAMPERS!$A$11:$A$311, ALLCAMPERS!C$11:C$311))</f>
        <v>2</v>
      </c>
      <c r="D3" s="4" t="str">
        <f>IF(LOOKUP($A3, ALLCAMPERS!$A$11:$A$311, ALLCAMPERS!D$11:D$311) = 0, "", LOOKUP($A3, ALLCAMPERS!$A$11:$A$311, ALLCAMPERS!D$11:D$311))</f>
        <v>Diana</v>
      </c>
      <c r="E3" s="4" t="str">
        <f>IF(LOOKUP($A3, ALLCAMPERS!$A$11:$A$311, ALLCAMPERS!E$11:E$311) = 0, "", LOOKUP($A3, ALLCAMPERS!$A$11:$A$311, ALLCAMPERS!E$11:E$311))</f>
        <v>ZYUZIN</v>
      </c>
      <c r="F3" s="4" t="str">
        <f>IF(LOOKUP($A3, ALLCAMPERS!$A$11:$A$311, ALLCAMPERS!F$11:F$311) = 0, "", LOOKUP($A3, ALLCAMPERS!$A$11:$A$311, ALLCAMPERS!F$11:F$311))</f>
        <v/>
      </c>
      <c r="G3" s="4">
        <f>IF(LOOKUP($A3, ALLCAMPERS!$A$11:$A$311, ALLCAMPERS!G$11:G$311) = 0, "", LOOKUP($A3, ALLCAMPERS!$A$11:$A$311, ALLCAMPERS!G$11:G$311))</f>
        <v>6</v>
      </c>
      <c r="H3" s="4">
        <f>IF(LOOKUP($A3, ALLCAMPERS!$A$11:$A$311, ALLCAMPERS!H$11:H$311) = 0, "", LOOKUP($A3, ALLCAMPERS!$A$11:$A$311, ALLCAMPERS!H$11:H$311))</f>
        <v>6</v>
      </c>
      <c r="I3" s="4">
        <f>IF(LOOKUP($A3, ALLCAMPERS!$A$11:$A$311, ALLCAMPERS!I$11:I$311) = 0, "", LOOKUP($A3, ALLCAMPERS!$A$11:$A$311, ALLCAMPERS!I$11:I$311))</f>
        <v>5</v>
      </c>
      <c r="J3" s="4">
        <f>IF(LOOKUP($A3, ALLCAMPERS!$A$11:$A$311, ALLCAMPERS!J$11:J$311) = 0, "", LOOKUP($A3, ALLCAMPERS!$A$11:$A$311, ALLCAMPERS!J$11:J$311))</f>
        <v>3</v>
      </c>
      <c r="K3" s="4" t="str">
        <f>IF(LOOKUP($A3, ALLCAMPERS!$A$11:$A$311, ALLCAMPERS!K$11:K$311) = 0, "", LOOKUP($A3, ALLCAMPERS!$A$11:$A$311, ALLCAMPERS!K$11:K$311))</f>
        <v/>
      </c>
      <c r="L3" s="4" t="str">
        <f>IF(LOOKUP($A3, ALLCAMPERS!$A$11:$A$311, ALLCAMPERS!L$11:L$311) = 0, "", LOOKUP($A3, ALLCAMPERS!$A$11:$A$311, ALLCAMPERS!L$11:L$311))</f>
        <v/>
      </c>
      <c r="N3" s="4">
        <f>N2+1</f>
        <v>1102</v>
      </c>
      <c r="O3" s="4">
        <f>IF(LOOKUP($N3, ALLCAMPERS!$A$11:$A$311, ALLCAMPERS!B$11:B$311) = 0, "", LOOKUP($N3, ALLCAMPERS!$A$11:$A$311, ALLCAMPERS!B$11:B$311))</f>
        <v>11</v>
      </c>
      <c r="P3" s="4">
        <f>IF(LOOKUP($N3, ALLCAMPERS!$A$11:$A$311, ALLCAMPERS!C$11:C$311) = 0, "", LOOKUP($N3, ALLCAMPERS!$A$11:$A$311, ALLCAMPERS!C$11:C$311))</f>
        <v>2</v>
      </c>
      <c r="Q3" s="4" t="str">
        <f>IF(LOOKUP($N3, ALLCAMPERS!$A$11:$A$311, ALLCAMPERS!D$11:D$311) = 0, "", LOOKUP($N3, ALLCAMPERS!$A$11:$A$311, ALLCAMPERS!D$11:D$311))</f>
        <v>George</v>
      </c>
      <c r="R3" s="4" t="str">
        <f>IF(LOOKUP($N3, ALLCAMPERS!$A$11:$A$311, ALLCAMPERS!E$11:E$311) = 0, "", LOOKUP($N3, ALLCAMPERS!$A$11:$A$311, ALLCAMPERS!E$11:E$311))</f>
        <v>IBRAHIM</v>
      </c>
      <c r="S3" s="4" t="str">
        <f>IF(LOOKUP($N3, ALLCAMPERS!$A$11:$A$311, ALLCAMPERS!F$11:F$311) = 0, "", LOOKUP($N3, ALLCAMPERS!$A$11:$A$311, ALLCAMPERS!F$11:F$311))</f>
        <v/>
      </c>
      <c r="T3" s="4">
        <f>IF(LOOKUP($N3, ALLCAMPERS!$A$11:$A$311, ALLCAMPERS!G$11:G$311) = 0, "", LOOKUP($N3, ALLCAMPERS!$A$11:$A$311, ALLCAMPERS!G$11:G$311))</f>
        <v>7</v>
      </c>
      <c r="U3" s="4">
        <f>IF(LOOKUP($N3, ALLCAMPERS!$A$11:$A$311, ALLCAMPERS!H$11:H$311) = 0, "", LOOKUP($N3, ALLCAMPERS!$A$11:$A$311, ALLCAMPERS!H$11:H$311))</f>
        <v>2</v>
      </c>
      <c r="V3" s="4">
        <f>IF(LOOKUP($N3, ALLCAMPERS!$A$11:$A$311, ALLCAMPERS!I$11:I$311) = 0, "", LOOKUP($N3, ALLCAMPERS!$A$11:$A$311, ALLCAMPERS!I$11:I$311))</f>
        <v>5</v>
      </c>
      <c r="W3" s="4">
        <f>IF(LOOKUP($N3, ALLCAMPERS!$A$11:$A$311, ALLCAMPERS!J$11:J$311) = 0, "", LOOKUP($N3, ALLCAMPERS!$A$11:$A$311, ALLCAMPERS!J$11:J$311))</f>
        <v>3</v>
      </c>
      <c r="X3" s="4" t="str">
        <f>IF(LOOKUP($N3, ALLCAMPERS!$A$11:$A$311, ALLCAMPERS!K$11:K$311) = 0, "", LOOKUP($N3, ALLCAMPERS!$A$11:$A$311, ALLCAMPERS!K$11:K$311))</f>
        <v/>
      </c>
      <c r="Y3" s="4" t="str">
        <f>IF(LOOKUP($N3, ALLCAMPERS!$A$11:$A$311, ALLCAMPERS!L$11:L$311) = 0, "", LOOKUP($N3, ALLCAMPERS!$A$11:$A$311, ALLCAMPERS!L$11:L$311))</f>
        <v/>
      </c>
    </row>
    <row r="4" spans="1:25" x14ac:dyDescent="0.3">
      <c r="A4" s="4">
        <f t="shared" ref="A4:A6" si="0">A3+1</f>
        <v>103</v>
      </c>
      <c r="B4" s="4">
        <f>IF(LOOKUP($A4, ALLCAMPERS!$A$11:$A$311, ALLCAMPERS!B$11:B$311) = 0, "", LOOKUP($A4, ALLCAMPERS!$A$11:$A$311, ALLCAMPERS!B$11:B$311))</f>
        <v>1</v>
      </c>
      <c r="C4" s="4">
        <f>IF(LOOKUP($A4, ALLCAMPERS!$A$11:$A$311, ALLCAMPERS!C$11:C$311) = 0, "", LOOKUP($A4, ALLCAMPERS!$A$11:$A$311, ALLCAMPERS!C$11:C$311))</f>
        <v>3</v>
      </c>
      <c r="D4" s="4" t="str">
        <f>IF(LOOKUP($A4, ALLCAMPERS!$A$11:$A$311, ALLCAMPERS!D$11:D$311) = 0, "", LOOKUP($A4, ALLCAMPERS!$A$11:$A$311, ALLCAMPERS!D$11:D$311))</f>
        <v>Laia</v>
      </c>
      <c r="E4" s="4" t="str">
        <f>IF(LOOKUP($A4, ALLCAMPERS!$A$11:$A$311, ALLCAMPERS!E$11:E$311) = 0, "", LOOKUP($A4, ALLCAMPERS!$A$11:$A$311, ALLCAMPERS!E$11:E$311))</f>
        <v>SAYEGH</v>
      </c>
      <c r="F4" s="4" t="str">
        <f>IF(LOOKUP($A4, ALLCAMPERS!$A$11:$A$311, ALLCAMPERS!F$11:F$311) = 0, "", LOOKUP($A4, ALLCAMPERS!$A$11:$A$311, ALLCAMPERS!F$11:F$311))</f>
        <v/>
      </c>
      <c r="G4" s="4">
        <f>IF(LOOKUP($A4, ALLCAMPERS!$A$11:$A$311, ALLCAMPERS!G$11:G$311) = 0, "", LOOKUP($A4, ALLCAMPERS!$A$11:$A$311, ALLCAMPERS!G$11:G$311))</f>
        <v>3</v>
      </c>
      <c r="H4" s="4">
        <f>IF(LOOKUP($A4, ALLCAMPERS!$A$11:$A$311, ALLCAMPERS!H$11:H$311) = 0, "", LOOKUP($A4, ALLCAMPERS!$A$11:$A$311, ALLCAMPERS!H$11:H$311))</f>
        <v>6</v>
      </c>
      <c r="I4" s="4">
        <f>IF(LOOKUP($A4, ALLCAMPERS!$A$11:$A$311, ALLCAMPERS!I$11:I$311) = 0, "", LOOKUP($A4, ALLCAMPERS!$A$11:$A$311, ALLCAMPERS!I$11:I$311))</f>
        <v>6</v>
      </c>
      <c r="J4" s="4">
        <f>IF(LOOKUP($A4, ALLCAMPERS!$A$11:$A$311, ALLCAMPERS!J$11:J$311) = 0, "", LOOKUP($A4, ALLCAMPERS!$A$11:$A$311, ALLCAMPERS!J$11:J$311))</f>
        <v>4</v>
      </c>
      <c r="K4" s="4" t="str">
        <f>IF(LOOKUP($A4, ALLCAMPERS!$A$11:$A$311, ALLCAMPERS!K$11:K$311) = 0, "", LOOKUP($A4, ALLCAMPERS!$A$11:$A$311, ALLCAMPERS!K$11:K$311))</f>
        <v/>
      </c>
      <c r="L4" s="4" t="str">
        <f>IF(LOOKUP($A4, ALLCAMPERS!$A$11:$A$311, ALLCAMPERS!L$11:L$311) = 0, "", LOOKUP($A4, ALLCAMPERS!$A$11:$A$311, ALLCAMPERS!L$11:L$311))</f>
        <v/>
      </c>
      <c r="N4" s="4">
        <f t="shared" ref="N4:N11" si="1">N3+1</f>
        <v>1103</v>
      </c>
      <c r="O4" s="4">
        <f>IF(LOOKUP($N4, ALLCAMPERS!$A$11:$A$311, ALLCAMPERS!B$11:B$311) = 0, "", LOOKUP($N4, ALLCAMPERS!$A$11:$A$311, ALLCAMPERS!B$11:B$311))</f>
        <v>11</v>
      </c>
      <c r="P4" s="4">
        <f>IF(LOOKUP($N4, ALLCAMPERS!$A$11:$A$311, ALLCAMPERS!C$11:C$311) = 0, "", LOOKUP($N4, ALLCAMPERS!$A$11:$A$311, ALLCAMPERS!C$11:C$311))</f>
        <v>3</v>
      </c>
      <c r="Q4" s="4" t="str">
        <f>IF(LOOKUP($N4, ALLCAMPERS!$A$11:$A$311, ALLCAMPERS!D$11:D$311) = 0, "", LOOKUP($N4, ALLCAMPERS!$A$11:$A$311, ALLCAMPERS!D$11:D$311))</f>
        <v>Ebrahim</v>
      </c>
      <c r="R4" s="4" t="str">
        <f>IF(LOOKUP($N4, ALLCAMPERS!$A$11:$A$311, ALLCAMPERS!E$11:E$311) = 0, "", LOOKUP($N4, ALLCAMPERS!$A$11:$A$311, ALLCAMPERS!E$11:E$311))</f>
        <v>BARAM</v>
      </c>
      <c r="S4" s="4" t="str">
        <f>IF(LOOKUP($N4, ALLCAMPERS!$A$11:$A$311, ALLCAMPERS!F$11:F$311) = 0, "", LOOKUP($N4, ALLCAMPERS!$A$11:$A$311, ALLCAMPERS!F$11:F$311))</f>
        <v/>
      </c>
      <c r="T4" s="4">
        <f>IF(LOOKUP($N4, ALLCAMPERS!$A$11:$A$311, ALLCAMPERS!G$11:G$311) = 0, "", LOOKUP($N4, ALLCAMPERS!$A$11:$A$311, ALLCAMPERS!G$11:G$311))</f>
        <v>1</v>
      </c>
      <c r="U4" s="4">
        <f>IF(LOOKUP($N4, ALLCAMPERS!$A$11:$A$311, ALLCAMPERS!H$11:H$311) = 0, "", LOOKUP($N4, ALLCAMPERS!$A$11:$A$311, ALLCAMPERS!H$11:H$311))</f>
        <v>4</v>
      </c>
      <c r="V4" s="4">
        <f>IF(LOOKUP($N4, ALLCAMPERS!$A$11:$A$311, ALLCAMPERS!I$11:I$311) = 0, "", LOOKUP($N4, ALLCAMPERS!$A$11:$A$311, ALLCAMPERS!I$11:I$311))</f>
        <v>2</v>
      </c>
      <c r="W4" s="4">
        <f>IF(LOOKUP($N4, ALLCAMPERS!$A$11:$A$311, ALLCAMPERS!J$11:J$311) = 0, "", LOOKUP($N4, ALLCAMPERS!$A$11:$A$311, ALLCAMPERS!J$11:J$311))</f>
        <v>7</v>
      </c>
      <c r="X4" s="4" t="str">
        <f>IF(LOOKUP($N4, ALLCAMPERS!$A$11:$A$311, ALLCAMPERS!K$11:K$311) = 0, "", LOOKUP($N4, ALLCAMPERS!$A$11:$A$311, ALLCAMPERS!K$11:K$311))</f>
        <v/>
      </c>
      <c r="Y4" s="4" t="str">
        <f>IF(LOOKUP($N4, ALLCAMPERS!$A$11:$A$311, ALLCAMPERS!L$11:L$311) = 0, "", LOOKUP($N4, ALLCAMPERS!$A$11:$A$311, ALLCAMPERS!L$11:L$311))</f>
        <v/>
      </c>
    </row>
    <row r="5" spans="1:25" x14ac:dyDescent="0.3">
      <c r="A5" s="4">
        <f t="shared" si="0"/>
        <v>104</v>
      </c>
      <c r="B5" s="4">
        <f>IF(LOOKUP($A5, ALLCAMPERS!$A$11:$A$311, ALLCAMPERS!B$11:B$311) = 0, "", LOOKUP($A5, ALLCAMPERS!$A$11:$A$311, ALLCAMPERS!B$11:B$311))</f>
        <v>1</v>
      </c>
      <c r="C5" s="4">
        <f>IF(LOOKUP($A5, ALLCAMPERS!$A$11:$A$311, ALLCAMPERS!C$11:C$311) = 0, "", LOOKUP($A5, ALLCAMPERS!$A$11:$A$311, ALLCAMPERS!C$11:C$311))</f>
        <v>4</v>
      </c>
      <c r="D5" s="4" t="str">
        <f>IF(LOOKUP($A5, ALLCAMPERS!$A$11:$A$311, ALLCAMPERS!D$11:D$311) = 0, "", LOOKUP($A5, ALLCAMPERS!$A$11:$A$311, ALLCAMPERS!D$11:D$311))</f>
        <v>Nadine</v>
      </c>
      <c r="E5" s="4" t="str">
        <f>IF(LOOKUP($A5, ALLCAMPERS!$A$11:$A$311, ALLCAMPERS!E$11:E$311) = 0, "", LOOKUP($A5, ALLCAMPERS!$A$11:$A$311, ALLCAMPERS!E$11:E$311))</f>
        <v>DABABNEH</v>
      </c>
      <c r="F5" s="4" t="str">
        <f>IF(LOOKUP($A5, ALLCAMPERS!$A$11:$A$311, ALLCAMPERS!F$11:F$311) = 0, "", LOOKUP($A5, ALLCAMPERS!$A$11:$A$311, ALLCAMPERS!F$11:F$311))</f>
        <v/>
      </c>
      <c r="G5" s="4">
        <f>IF(LOOKUP($A5, ALLCAMPERS!$A$11:$A$311, ALLCAMPERS!G$11:G$311) = 0, "", LOOKUP($A5, ALLCAMPERS!$A$11:$A$311, ALLCAMPERS!G$11:G$311))</f>
        <v>4</v>
      </c>
      <c r="H5" s="4">
        <f>IF(LOOKUP($A5, ALLCAMPERS!$A$11:$A$311, ALLCAMPERS!H$11:H$311) = 0, "", LOOKUP($A5, ALLCAMPERS!$A$11:$A$311, ALLCAMPERS!H$11:H$311))</f>
        <v>1</v>
      </c>
      <c r="I5" s="4">
        <f>IF(LOOKUP($A5, ALLCAMPERS!$A$11:$A$311, ALLCAMPERS!I$11:I$311) = 0, "", LOOKUP($A5, ALLCAMPERS!$A$11:$A$311, ALLCAMPERS!I$11:I$311))</f>
        <v>7</v>
      </c>
      <c r="J5" s="4">
        <f>IF(LOOKUP($A5, ALLCAMPERS!$A$11:$A$311, ALLCAMPERS!J$11:J$311) = 0, "", LOOKUP($A5, ALLCAMPERS!$A$11:$A$311, ALLCAMPERS!J$11:J$311))</f>
        <v>6</v>
      </c>
      <c r="K5" s="4" t="str">
        <f>IF(LOOKUP($A5, ALLCAMPERS!$A$11:$A$311, ALLCAMPERS!K$11:K$311) = 0, "", LOOKUP($A5, ALLCAMPERS!$A$11:$A$311, ALLCAMPERS!K$11:K$311))</f>
        <v/>
      </c>
      <c r="L5" s="4" t="str">
        <f>IF(LOOKUP($A5, ALLCAMPERS!$A$11:$A$311, ALLCAMPERS!L$11:L$311) = 0, "", LOOKUP($A5, ALLCAMPERS!$A$11:$A$311, ALLCAMPERS!L$11:L$311))</f>
        <v/>
      </c>
      <c r="N5" s="4">
        <f t="shared" si="1"/>
        <v>1104</v>
      </c>
      <c r="O5" s="4">
        <f>IF(LOOKUP($N5, ALLCAMPERS!$A$11:$A$311, ALLCAMPERS!B$11:B$311) = 0, "", LOOKUP($N5, ALLCAMPERS!$A$11:$A$311, ALLCAMPERS!B$11:B$311))</f>
        <v>11</v>
      </c>
      <c r="P5" s="4">
        <f>IF(LOOKUP($N5, ALLCAMPERS!$A$11:$A$311, ALLCAMPERS!C$11:C$311) = 0, "", LOOKUP($N5, ALLCAMPERS!$A$11:$A$311, ALLCAMPERS!C$11:C$311))</f>
        <v>4</v>
      </c>
      <c r="Q5" s="4" t="str">
        <f>IF(LOOKUP($N5, ALLCAMPERS!$A$11:$A$311, ALLCAMPERS!D$11:D$311) = 0, "", LOOKUP($N5, ALLCAMPERS!$A$11:$A$311, ALLCAMPERS!D$11:D$311))</f>
        <v>Andre</v>
      </c>
      <c r="R5" s="4" t="str">
        <f>IF(LOOKUP($N5, ALLCAMPERS!$A$11:$A$311, ALLCAMPERS!E$11:E$311) = 0, "", LOOKUP($N5, ALLCAMPERS!$A$11:$A$311, ALLCAMPERS!E$11:E$311))</f>
        <v>HAZIM</v>
      </c>
      <c r="S5" s="4" t="str">
        <f>IF(LOOKUP($N5, ALLCAMPERS!$A$11:$A$311, ALLCAMPERS!F$11:F$311) = 0, "", LOOKUP($N5, ALLCAMPERS!$A$11:$A$311, ALLCAMPERS!F$11:F$311))</f>
        <v/>
      </c>
      <c r="T5" s="4">
        <f>IF(LOOKUP($N5, ALLCAMPERS!$A$11:$A$311, ALLCAMPERS!G$11:G$311) = 0, "", LOOKUP($N5, ALLCAMPERS!$A$11:$A$311, ALLCAMPERS!G$11:G$311))</f>
        <v>1</v>
      </c>
      <c r="U5" s="4">
        <f>IF(LOOKUP($N5, ALLCAMPERS!$A$11:$A$311, ALLCAMPERS!H$11:H$311) = 0, "", LOOKUP($N5, ALLCAMPERS!$A$11:$A$311, ALLCAMPERS!H$11:H$311))</f>
        <v>6</v>
      </c>
      <c r="V5" s="4">
        <f>IF(LOOKUP($N5, ALLCAMPERS!$A$11:$A$311, ALLCAMPERS!I$11:I$311) = 0, "", LOOKUP($N5, ALLCAMPERS!$A$11:$A$311, ALLCAMPERS!I$11:I$311))</f>
        <v>4</v>
      </c>
      <c r="W5" s="4">
        <f>IF(LOOKUP($N5, ALLCAMPERS!$A$11:$A$311, ALLCAMPERS!J$11:J$311) = 0, "", LOOKUP($N5, ALLCAMPERS!$A$11:$A$311, ALLCAMPERS!J$11:J$311))</f>
        <v>2</v>
      </c>
      <c r="X5" s="4" t="str">
        <f>IF(LOOKUP($N5, ALLCAMPERS!$A$11:$A$311, ALLCAMPERS!K$11:K$311) = 0, "", LOOKUP($N5, ALLCAMPERS!$A$11:$A$311, ALLCAMPERS!K$11:K$311))</f>
        <v/>
      </c>
      <c r="Y5" s="4" t="str">
        <f>IF(LOOKUP($N5, ALLCAMPERS!$A$11:$A$311, ALLCAMPERS!L$11:L$311) = 0, "", LOOKUP($N5, ALLCAMPERS!$A$11:$A$311, ALLCAMPERS!L$11:L$311))</f>
        <v/>
      </c>
    </row>
    <row r="6" spans="1:25" x14ac:dyDescent="0.3">
      <c r="A6" s="4">
        <f t="shared" si="0"/>
        <v>105</v>
      </c>
      <c r="B6" s="4">
        <f>IF(LOOKUP($A6, ALLCAMPERS!$A$11:$A$311, ALLCAMPERS!B$11:B$311) = 0, "", LOOKUP($A6, ALLCAMPERS!$A$11:$A$311, ALLCAMPERS!B$11:B$311))</f>
        <v>1</v>
      </c>
      <c r="C6" s="4">
        <f>IF(LOOKUP($A6, ALLCAMPERS!$A$11:$A$311, ALLCAMPERS!C$11:C$311) = 0, "", LOOKUP($A6, ALLCAMPERS!$A$11:$A$311, ALLCAMPERS!C$11:C$311))</f>
        <v>5</v>
      </c>
      <c r="D6" s="4" t="str">
        <f>IF(LOOKUP($A6, ALLCAMPERS!$A$11:$A$311, ALLCAMPERS!D$11:D$311) = 0, "", LOOKUP($A6, ALLCAMPERS!$A$11:$A$311, ALLCAMPERS!D$11:D$311))</f>
        <v>Bianca</v>
      </c>
      <c r="E6" s="4" t="str">
        <f>IF(LOOKUP($A6, ALLCAMPERS!$A$11:$A$311, ALLCAMPERS!E$11:E$311) = 0, "", LOOKUP($A6, ALLCAMPERS!$A$11:$A$311, ALLCAMPERS!E$11:E$311))</f>
        <v>GHATTAS</v>
      </c>
      <c r="F6" s="4" t="str">
        <f>IF(LOOKUP($A6, ALLCAMPERS!$A$11:$A$311, ALLCAMPERS!F$11:F$311) = 0, "", LOOKUP($A6, ALLCAMPERS!$A$11:$A$311, ALLCAMPERS!F$11:F$311))</f>
        <v/>
      </c>
      <c r="G6" s="4">
        <f>IF(LOOKUP($A6, ALLCAMPERS!$A$11:$A$311, ALLCAMPERS!G$11:G$311) = 0, "", LOOKUP($A6, ALLCAMPERS!$A$11:$A$311, ALLCAMPERS!G$11:G$311))</f>
        <v>2</v>
      </c>
      <c r="H6" s="4">
        <f>IF(LOOKUP($A6, ALLCAMPERS!$A$11:$A$311, ALLCAMPERS!H$11:H$311) = 0, "", LOOKUP($A6, ALLCAMPERS!$A$11:$A$311, ALLCAMPERS!H$11:H$311))</f>
        <v>3</v>
      </c>
      <c r="I6" s="4">
        <f>IF(LOOKUP($A6, ALLCAMPERS!$A$11:$A$311, ALLCAMPERS!I$11:I$311) = 0, "", LOOKUP($A6, ALLCAMPERS!$A$11:$A$311, ALLCAMPERS!I$11:I$311))</f>
        <v>2</v>
      </c>
      <c r="J6" s="4">
        <f>IF(LOOKUP($A6, ALLCAMPERS!$A$11:$A$311, ALLCAMPERS!J$11:J$311) = 0, "", LOOKUP($A6, ALLCAMPERS!$A$11:$A$311, ALLCAMPERS!J$11:J$311))</f>
        <v>6</v>
      </c>
      <c r="K6" s="4" t="str">
        <f>IF(LOOKUP($A6, ALLCAMPERS!$A$11:$A$311, ALLCAMPERS!K$11:K$311) = 0, "", LOOKUP($A6, ALLCAMPERS!$A$11:$A$311, ALLCAMPERS!K$11:K$311))</f>
        <v/>
      </c>
      <c r="L6" s="4" t="str">
        <f>IF(LOOKUP($A6, ALLCAMPERS!$A$11:$A$311, ALLCAMPERS!L$11:L$311) = 0, "", LOOKUP($A6, ALLCAMPERS!$A$11:$A$311, ALLCAMPERS!L$11:L$311))</f>
        <v/>
      </c>
      <c r="N6" s="4">
        <f t="shared" si="1"/>
        <v>1105</v>
      </c>
      <c r="O6" s="4">
        <f>IF(LOOKUP($N6, ALLCAMPERS!$A$11:$A$311, ALLCAMPERS!B$11:B$311) = 0, "", LOOKUP($N6, ALLCAMPERS!$A$11:$A$311, ALLCAMPERS!B$11:B$311))</f>
        <v>11</v>
      </c>
      <c r="P6" s="4">
        <f>IF(LOOKUP($N6, ALLCAMPERS!$A$11:$A$311, ALLCAMPERS!C$11:C$311) = 0, "", LOOKUP($N6, ALLCAMPERS!$A$11:$A$311, ALLCAMPERS!C$11:C$311))</f>
        <v>5</v>
      </c>
      <c r="Q6" s="4" t="str">
        <f>IF(LOOKUP($N6, ALLCAMPERS!$A$11:$A$311, ALLCAMPERS!D$11:D$311) = 0, "", LOOKUP($N6, ALLCAMPERS!$A$11:$A$311, ALLCAMPERS!D$11:D$311))</f>
        <v>Matthew</v>
      </c>
      <c r="R6" s="4" t="str">
        <f>IF(LOOKUP($N6, ALLCAMPERS!$A$11:$A$311, ALLCAMPERS!E$11:E$311) = 0, "", LOOKUP($N6, ALLCAMPERS!$A$11:$A$311, ALLCAMPERS!E$11:E$311))</f>
        <v>KHOURY</v>
      </c>
      <c r="S6" s="4" t="str">
        <f>IF(LOOKUP($N6, ALLCAMPERS!$A$11:$A$311, ALLCAMPERS!F$11:F$311) = 0, "", LOOKUP($N6, ALLCAMPERS!$A$11:$A$311, ALLCAMPERS!F$11:F$311))</f>
        <v/>
      </c>
      <c r="T6" s="4">
        <f>IF(LOOKUP($N6, ALLCAMPERS!$A$11:$A$311, ALLCAMPERS!G$11:G$311) = 0, "", LOOKUP($N6, ALLCAMPERS!$A$11:$A$311, ALLCAMPERS!G$11:G$311))</f>
        <v>7</v>
      </c>
      <c r="U6" s="4">
        <f>IF(LOOKUP($N6, ALLCAMPERS!$A$11:$A$311, ALLCAMPERS!H$11:H$311) = 0, "", LOOKUP($N6, ALLCAMPERS!$A$11:$A$311, ALLCAMPERS!H$11:H$311))</f>
        <v>4</v>
      </c>
      <c r="V6" s="4">
        <f>IF(LOOKUP($N6, ALLCAMPERS!$A$11:$A$311, ALLCAMPERS!I$11:I$311) = 0, "", LOOKUP($N6, ALLCAMPERS!$A$11:$A$311, ALLCAMPERS!I$11:I$311))</f>
        <v>6</v>
      </c>
      <c r="W6" s="4">
        <f>IF(LOOKUP($N6, ALLCAMPERS!$A$11:$A$311, ALLCAMPERS!J$11:J$311) = 0, "", LOOKUP($N6, ALLCAMPERS!$A$11:$A$311, ALLCAMPERS!J$11:J$311))</f>
        <v>5</v>
      </c>
      <c r="X6" s="4" t="str">
        <f>IF(LOOKUP($N6, ALLCAMPERS!$A$11:$A$311, ALLCAMPERS!K$11:K$311) = 0, "", LOOKUP($N6, ALLCAMPERS!$A$11:$A$311, ALLCAMPERS!K$11:K$311))</f>
        <v/>
      </c>
      <c r="Y6" s="4" t="str">
        <f>IF(LOOKUP($N6, ALLCAMPERS!$A$11:$A$311, ALLCAMPERS!L$11:L$311) = 0, "", LOOKUP($N6, ALLCAMPERS!$A$11:$A$311, ALLCAMPERS!L$11:L$311))</f>
        <v/>
      </c>
    </row>
    <row r="7" spans="1:25" x14ac:dyDescent="0.3">
      <c r="N7" s="4">
        <f t="shared" si="1"/>
        <v>1106</v>
      </c>
      <c r="O7" s="4">
        <f>IF(LOOKUP($N7, ALLCAMPERS!$A$11:$A$311, ALLCAMPERS!B$11:B$311) = 0, "", LOOKUP($N7, ALLCAMPERS!$A$11:$A$311, ALLCAMPERS!B$11:B$311))</f>
        <v>11</v>
      </c>
      <c r="P7" s="4">
        <f>IF(LOOKUP($N7, ALLCAMPERS!$A$11:$A$311, ALLCAMPERS!C$11:C$311) = 0, "", LOOKUP($N7, ALLCAMPERS!$A$11:$A$311, ALLCAMPERS!C$11:C$311))</f>
        <v>6</v>
      </c>
      <c r="Q7" s="4" t="str">
        <f>IF(LOOKUP($N7, ALLCAMPERS!$A$11:$A$311, ALLCAMPERS!D$11:D$311) = 0, "", LOOKUP($N7, ALLCAMPERS!$A$11:$A$311, ALLCAMPERS!D$11:D$311))</f>
        <v xml:space="preserve">Markos </v>
      </c>
      <c r="R7" s="4" t="str">
        <f>IF(LOOKUP($N7, ALLCAMPERS!$A$11:$A$311, ALLCAMPERS!E$11:E$311) = 0, "", LOOKUP($N7, ALLCAMPERS!$A$11:$A$311, ALLCAMPERS!E$11:E$311))</f>
        <v>AYOUB</v>
      </c>
      <c r="S7" s="4" t="str">
        <f>IF(LOOKUP($N7, ALLCAMPERS!$A$11:$A$311, ALLCAMPERS!F$11:F$311) = 0, "", LOOKUP($N7, ALLCAMPERS!$A$11:$A$311, ALLCAMPERS!F$11:F$311))</f>
        <v/>
      </c>
      <c r="T7" s="4">
        <f>IF(LOOKUP($N7, ALLCAMPERS!$A$11:$A$311, ALLCAMPERS!G$11:G$311) = 0, "", LOOKUP($N7, ALLCAMPERS!$A$11:$A$311, ALLCAMPERS!G$11:G$311))</f>
        <v>2</v>
      </c>
      <c r="U7" s="4">
        <f>IF(LOOKUP($N7, ALLCAMPERS!$A$11:$A$311, ALLCAMPERS!H$11:H$311) = 0, "", LOOKUP($N7, ALLCAMPERS!$A$11:$A$311, ALLCAMPERS!H$11:H$311))</f>
        <v>6</v>
      </c>
      <c r="V7" s="4">
        <f>IF(LOOKUP($N7, ALLCAMPERS!$A$11:$A$311, ALLCAMPERS!I$11:I$311) = 0, "", LOOKUP($N7, ALLCAMPERS!$A$11:$A$311, ALLCAMPERS!I$11:I$311))</f>
        <v>2</v>
      </c>
      <c r="W7" s="4">
        <f>IF(LOOKUP($N7, ALLCAMPERS!$A$11:$A$311, ALLCAMPERS!J$11:J$311) = 0, "", LOOKUP($N7, ALLCAMPERS!$A$11:$A$311, ALLCAMPERS!J$11:J$311))</f>
        <v>3</v>
      </c>
      <c r="X7" s="4" t="str">
        <f>IF(LOOKUP($N7, ALLCAMPERS!$A$11:$A$311, ALLCAMPERS!K$11:K$311) = 0, "", LOOKUP($N7, ALLCAMPERS!$A$11:$A$311, ALLCAMPERS!K$11:K$311))</f>
        <v/>
      </c>
      <c r="Y7" s="4" t="str">
        <f>IF(LOOKUP($N7, ALLCAMPERS!$A$11:$A$311, ALLCAMPERS!L$11:L$311) = 0, "", LOOKUP($N7, ALLCAMPERS!$A$11:$A$311, ALLCAMPERS!L$11:L$311))</f>
        <v/>
      </c>
    </row>
    <row r="8" spans="1:25" x14ac:dyDescent="0.3">
      <c r="N8" s="4">
        <f t="shared" si="1"/>
        <v>1107</v>
      </c>
      <c r="O8" s="4">
        <f>IF(LOOKUP($N8, ALLCAMPERS!$A$11:$A$311, ALLCAMPERS!B$11:B$311) = 0, "", LOOKUP($N8, ALLCAMPERS!$A$11:$A$311, ALLCAMPERS!B$11:B$311))</f>
        <v>11</v>
      </c>
      <c r="P8" s="4">
        <f>IF(LOOKUP($N8, ALLCAMPERS!$A$11:$A$311, ALLCAMPERS!C$11:C$311) = 0, "", LOOKUP($N8, ALLCAMPERS!$A$11:$A$311, ALLCAMPERS!C$11:C$311))</f>
        <v>7</v>
      </c>
      <c r="Q8" s="4" t="str">
        <f>IF(LOOKUP($N8, ALLCAMPERS!$A$11:$A$311, ALLCAMPERS!D$11:D$311) = 0, "", LOOKUP($N8, ALLCAMPERS!$A$11:$A$311, ALLCAMPERS!D$11:D$311))</f>
        <v>Karim</v>
      </c>
      <c r="R8" s="4" t="str">
        <f>IF(LOOKUP($N8, ALLCAMPERS!$A$11:$A$311, ALLCAMPERS!E$11:E$311) = 0, "", LOOKUP($N8, ALLCAMPERS!$A$11:$A$311, ALLCAMPERS!E$11:E$311))</f>
        <v>FARAH</v>
      </c>
      <c r="S8" s="4" t="str">
        <f>IF(LOOKUP($N8, ALLCAMPERS!$A$11:$A$311, ALLCAMPERS!F$11:F$311) = 0, "", LOOKUP($N8, ALLCAMPERS!$A$11:$A$311, ALLCAMPERS!F$11:F$311))</f>
        <v/>
      </c>
      <c r="T8" s="4">
        <f>IF(LOOKUP($N8, ALLCAMPERS!$A$11:$A$311, ALLCAMPERS!G$11:G$311) = 0, "", LOOKUP($N8, ALLCAMPERS!$A$11:$A$311, ALLCAMPERS!G$11:G$311))</f>
        <v>2</v>
      </c>
      <c r="U8" s="4">
        <f>IF(LOOKUP($N8, ALLCAMPERS!$A$11:$A$311, ALLCAMPERS!H$11:H$311) = 0, "", LOOKUP($N8, ALLCAMPERS!$A$11:$A$311, ALLCAMPERS!H$11:H$311))</f>
        <v>4</v>
      </c>
      <c r="V8" s="4">
        <f>IF(LOOKUP($N8, ALLCAMPERS!$A$11:$A$311, ALLCAMPERS!I$11:I$311) = 0, "", LOOKUP($N8, ALLCAMPERS!$A$11:$A$311, ALLCAMPERS!I$11:I$311))</f>
        <v>4</v>
      </c>
      <c r="W8" s="4">
        <f>IF(LOOKUP($N8, ALLCAMPERS!$A$11:$A$311, ALLCAMPERS!J$11:J$311) = 0, "", LOOKUP($N8, ALLCAMPERS!$A$11:$A$311, ALLCAMPERS!J$11:J$311))</f>
        <v>5</v>
      </c>
      <c r="X8" s="4" t="str">
        <f>IF(LOOKUP($N8, ALLCAMPERS!$A$11:$A$311, ALLCAMPERS!K$11:K$311) = 0, "", LOOKUP($N8, ALLCAMPERS!$A$11:$A$311, ALLCAMPERS!K$11:K$311))</f>
        <v/>
      </c>
      <c r="Y8" s="4" t="str">
        <f>IF(LOOKUP($N8, ALLCAMPERS!$A$11:$A$311, ALLCAMPERS!L$11:L$311) = 0, "", LOOKUP($N8, ALLCAMPERS!$A$11:$A$311, ALLCAMPERS!L$11:L$311))</f>
        <v/>
      </c>
    </row>
    <row r="9" spans="1:25" x14ac:dyDescent="0.3">
      <c r="N9" s="4">
        <f t="shared" si="1"/>
        <v>1108</v>
      </c>
      <c r="O9" s="4">
        <f>IF(LOOKUP($N9, ALLCAMPERS!$A$11:$A$311, ALLCAMPERS!B$11:B$311) = 0, "", LOOKUP($N9, ALLCAMPERS!$A$11:$A$311, ALLCAMPERS!B$11:B$311))</f>
        <v>11</v>
      </c>
      <c r="P9" s="4">
        <f>IF(LOOKUP($N9, ALLCAMPERS!$A$11:$A$311, ALLCAMPERS!C$11:C$311) = 0, "", LOOKUP($N9, ALLCAMPERS!$A$11:$A$311, ALLCAMPERS!C$11:C$311))</f>
        <v>8</v>
      </c>
      <c r="Q9" s="4" t="str">
        <f>IF(LOOKUP($N9, ALLCAMPERS!$A$11:$A$311, ALLCAMPERS!D$11:D$311) = 0, "", LOOKUP($N9, ALLCAMPERS!$A$11:$A$311, ALLCAMPERS!D$11:D$311))</f>
        <v>Alfred</v>
      </c>
      <c r="R9" s="4" t="str">
        <f>IF(LOOKUP($N9, ALLCAMPERS!$A$11:$A$311, ALLCAMPERS!E$11:E$311) = 0, "", LOOKUP($N9, ALLCAMPERS!$A$11:$A$311, ALLCAMPERS!E$11:E$311))</f>
        <v>GENADRI</v>
      </c>
      <c r="S9" s="4" t="str">
        <f>IF(LOOKUP($N9, ALLCAMPERS!$A$11:$A$311, ALLCAMPERS!F$11:F$311) = 0, "", LOOKUP($N9, ALLCAMPERS!$A$11:$A$311, ALLCAMPERS!F$11:F$311))</f>
        <v/>
      </c>
      <c r="T9" s="4">
        <f>IF(LOOKUP($N9, ALLCAMPERS!$A$11:$A$311, ALLCAMPERS!G$11:G$311) = 0, "", LOOKUP($N9, ALLCAMPERS!$A$11:$A$311, ALLCAMPERS!G$11:G$311))</f>
        <v>2</v>
      </c>
      <c r="U9" s="4">
        <f>IF(LOOKUP($N9, ALLCAMPERS!$A$11:$A$311, ALLCAMPERS!H$11:H$311) = 0, "", LOOKUP($N9, ALLCAMPERS!$A$11:$A$311, ALLCAMPERS!H$11:H$311))</f>
        <v>7</v>
      </c>
      <c r="V9" s="4">
        <f>IF(LOOKUP($N9, ALLCAMPERS!$A$11:$A$311, ALLCAMPERS!I$11:I$311) = 0, "", LOOKUP($N9, ALLCAMPERS!$A$11:$A$311, ALLCAMPERS!I$11:I$311))</f>
        <v>4</v>
      </c>
      <c r="W9" s="4">
        <f>IF(LOOKUP($N9, ALLCAMPERS!$A$11:$A$311, ALLCAMPERS!J$11:J$311) = 0, "", LOOKUP($N9, ALLCAMPERS!$A$11:$A$311, ALLCAMPERS!J$11:J$311))</f>
        <v>7</v>
      </c>
      <c r="X9" s="4" t="str">
        <f>IF(LOOKUP($N9, ALLCAMPERS!$A$11:$A$311, ALLCAMPERS!K$11:K$311) = 0, "", LOOKUP($N9, ALLCAMPERS!$A$11:$A$311, ALLCAMPERS!K$11:K$311))</f>
        <v/>
      </c>
      <c r="Y9" s="4" t="str">
        <f>IF(LOOKUP($N9, ALLCAMPERS!$A$11:$A$311, ALLCAMPERS!L$11:L$311) = 0, "", LOOKUP($N9, ALLCAMPERS!$A$11:$A$311, ALLCAMPERS!L$11:L$311))</f>
        <v/>
      </c>
    </row>
    <row r="10" spans="1:25" x14ac:dyDescent="0.3">
      <c r="N10" s="4">
        <f t="shared" si="1"/>
        <v>1109</v>
      </c>
      <c r="O10" s="4">
        <f>IF(LOOKUP($N10, ALLCAMPERS!$A$11:$A$311, ALLCAMPERS!B$11:B$311) = 0, "", LOOKUP($N10, ALLCAMPERS!$A$11:$A$311, ALLCAMPERS!B$11:B$311))</f>
        <v>11</v>
      </c>
      <c r="P10" s="4">
        <f>IF(LOOKUP($N10, ALLCAMPERS!$A$11:$A$311, ALLCAMPERS!C$11:C$311) = 0, "", LOOKUP($N10, ALLCAMPERS!$A$11:$A$311, ALLCAMPERS!C$11:C$311))</f>
        <v>9</v>
      </c>
      <c r="Q10" s="4" t="str">
        <f>IF(LOOKUP($N10, ALLCAMPERS!$A$11:$A$311, ALLCAMPERS!D$11:D$311) = 0, "", LOOKUP($N10, ALLCAMPERS!$A$11:$A$311, ALLCAMPERS!D$11:D$311))</f>
        <v>Michael</v>
      </c>
      <c r="R10" s="4" t="str">
        <f>IF(LOOKUP($N10, ALLCAMPERS!$A$11:$A$311, ALLCAMPERS!E$11:E$311) = 0, "", LOOKUP($N10, ALLCAMPERS!$A$11:$A$311, ALLCAMPERS!E$11:E$311))</f>
        <v>SAOUD</v>
      </c>
      <c r="S10" s="4" t="str">
        <f>IF(LOOKUP($N10, ALLCAMPERS!$A$11:$A$311, ALLCAMPERS!F$11:F$311) = 0, "", LOOKUP($N10, ALLCAMPERS!$A$11:$A$311, ALLCAMPERS!F$11:F$311))</f>
        <v/>
      </c>
      <c r="T10" s="4">
        <f>IF(LOOKUP($N10, ALLCAMPERS!$A$11:$A$311, ALLCAMPERS!G$11:G$311) = 0, "", LOOKUP($N10, ALLCAMPERS!$A$11:$A$311, ALLCAMPERS!G$11:G$311))</f>
        <v>4</v>
      </c>
      <c r="U10" s="4">
        <f>IF(LOOKUP($N10, ALLCAMPERS!$A$11:$A$311, ALLCAMPERS!H$11:H$311) = 0, "", LOOKUP($N10, ALLCAMPERS!$A$11:$A$311, ALLCAMPERS!H$11:H$311))</f>
        <v>4</v>
      </c>
      <c r="V10" s="4">
        <f>IF(LOOKUP($N10, ALLCAMPERS!$A$11:$A$311, ALLCAMPERS!I$11:I$311) = 0, "", LOOKUP($N10, ALLCAMPERS!$A$11:$A$311, ALLCAMPERS!I$11:I$311))</f>
        <v>6</v>
      </c>
      <c r="W10" s="4">
        <f>IF(LOOKUP($N10, ALLCAMPERS!$A$11:$A$311, ALLCAMPERS!J$11:J$311) = 0, "", LOOKUP($N10, ALLCAMPERS!$A$11:$A$311, ALLCAMPERS!J$11:J$311))</f>
        <v>4</v>
      </c>
      <c r="X10" s="4" t="str">
        <f>IF(LOOKUP($N10, ALLCAMPERS!$A$11:$A$311, ALLCAMPERS!K$11:K$311) = 0, "", LOOKUP($N10, ALLCAMPERS!$A$11:$A$311, ALLCAMPERS!K$11:K$311))</f>
        <v/>
      </c>
      <c r="Y10" s="4" t="str">
        <f>IF(LOOKUP($N10, ALLCAMPERS!$A$11:$A$311, ALLCAMPERS!L$11:L$311) = 0, "", LOOKUP($N10, ALLCAMPERS!$A$11:$A$311, ALLCAMPERS!L$11:L$311))</f>
        <v/>
      </c>
    </row>
    <row r="11" spans="1:25" x14ac:dyDescent="0.3">
      <c r="N11" s="4">
        <f t="shared" si="1"/>
        <v>1110</v>
      </c>
      <c r="O11" s="4">
        <f>IF(LOOKUP($N11, ALLCAMPERS!$A$11:$A$311, ALLCAMPERS!B$11:B$311) = 0, "", LOOKUP($N11, ALLCAMPERS!$A$11:$A$311, ALLCAMPERS!B$11:B$311))</f>
        <v>11</v>
      </c>
      <c r="P11" s="4">
        <f>IF(LOOKUP($N11, ALLCAMPERS!$A$11:$A$311, ALLCAMPERS!C$11:C$311) = 0, "", LOOKUP($N11, ALLCAMPERS!$A$11:$A$311, ALLCAMPERS!C$11:C$311))</f>
        <v>10</v>
      </c>
      <c r="Q11" s="4" t="str">
        <f>IF(LOOKUP($N11, ALLCAMPERS!$A$11:$A$311, ALLCAMPERS!D$11:D$311) = 0, "", LOOKUP($N11, ALLCAMPERS!$A$11:$A$311, ALLCAMPERS!D$11:D$311))</f>
        <v>Elias</v>
      </c>
      <c r="R11" s="4" t="str">
        <f>IF(LOOKUP($N11, ALLCAMPERS!$A$11:$A$311, ALLCAMPERS!E$11:E$311) = 0, "", LOOKUP($N11, ALLCAMPERS!$A$11:$A$311, ALLCAMPERS!E$11:E$311))</f>
        <v>HAWA</v>
      </c>
      <c r="S11" s="4" t="str">
        <f>IF(LOOKUP($N11, ALLCAMPERS!$A$11:$A$311, ALLCAMPERS!F$11:F$311) = 0, "", LOOKUP($N11, ALLCAMPERS!$A$11:$A$311, ALLCAMPERS!F$11:F$311))</f>
        <v/>
      </c>
      <c r="T11" s="4">
        <f>IF(LOOKUP($N11, ALLCAMPERS!$A$11:$A$311, ALLCAMPERS!G$11:G$311) = 0, "", LOOKUP($N11, ALLCAMPERS!$A$11:$A$311, ALLCAMPERS!G$11:G$311))</f>
        <v>4</v>
      </c>
      <c r="U11" s="4">
        <f>IF(LOOKUP($N11, ALLCAMPERS!$A$11:$A$311, ALLCAMPERS!H$11:H$311) = 0, "", LOOKUP($N11, ALLCAMPERS!$A$11:$A$311, ALLCAMPERS!H$11:H$311))</f>
        <v>7</v>
      </c>
      <c r="V11" s="4">
        <f>IF(LOOKUP($N11, ALLCAMPERS!$A$11:$A$311, ALLCAMPERS!I$11:I$311) = 0, "", LOOKUP($N11, ALLCAMPERS!$A$11:$A$311, ALLCAMPERS!I$11:I$311))</f>
        <v>4</v>
      </c>
      <c r="W11" s="4">
        <f>IF(LOOKUP($N11, ALLCAMPERS!$A$11:$A$311, ALLCAMPERS!J$11:J$311) = 0, "", LOOKUP($N11, ALLCAMPERS!$A$11:$A$311, ALLCAMPERS!J$11:J$311))</f>
        <v>5</v>
      </c>
      <c r="X11" s="4" t="str">
        <f>IF(LOOKUP($N11, ALLCAMPERS!$A$11:$A$311, ALLCAMPERS!K$11:K$311) = 0, "", LOOKUP($N11, ALLCAMPERS!$A$11:$A$311, ALLCAMPERS!K$11:K$311))</f>
        <v/>
      </c>
      <c r="Y11" s="4" t="str">
        <f>IF(LOOKUP($N11, ALLCAMPERS!$A$11:$A$311, ALLCAMPERS!L$11:L$311) = 0, "", LOOKUP($N11, ALLCAMPERS!$A$11:$A$311, ALLCAMPERS!L$11:L$311))</f>
        <v/>
      </c>
    </row>
    <row r="19" spans="1:25" s="3" customFormat="1" ht="28.8" x14ac:dyDescent="0.3">
      <c r="A19" s="16" t="s">
        <v>0</v>
      </c>
      <c r="B19" s="16" t="s">
        <v>1</v>
      </c>
      <c r="C19" s="16" t="s">
        <v>76</v>
      </c>
      <c r="D19" s="16" t="s">
        <v>2</v>
      </c>
      <c r="E19" s="16" t="s">
        <v>3</v>
      </c>
      <c r="F19" s="16" t="s">
        <v>16</v>
      </c>
      <c r="G19" s="16" t="s">
        <v>311</v>
      </c>
      <c r="H19" s="16" t="s">
        <v>312</v>
      </c>
      <c r="I19" s="16" t="s">
        <v>313</v>
      </c>
      <c r="J19" s="16" t="s">
        <v>314</v>
      </c>
      <c r="K19" s="16" t="s">
        <v>87</v>
      </c>
      <c r="L19" s="16" t="s">
        <v>88</v>
      </c>
      <c r="M19" s="16"/>
      <c r="N19" s="16" t="s">
        <v>0</v>
      </c>
      <c r="O19" s="16" t="s">
        <v>1</v>
      </c>
      <c r="P19" s="16" t="s">
        <v>76</v>
      </c>
      <c r="Q19" s="16" t="s">
        <v>2</v>
      </c>
      <c r="R19" s="16" t="s">
        <v>3</v>
      </c>
      <c r="S19" s="16" t="s">
        <v>16</v>
      </c>
      <c r="T19" s="16" t="s">
        <v>311</v>
      </c>
      <c r="U19" s="16" t="s">
        <v>312</v>
      </c>
      <c r="V19" s="16" t="s">
        <v>313</v>
      </c>
      <c r="W19" s="16" t="s">
        <v>314</v>
      </c>
      <c r="X19" s="16" t="s">
        <v>87</v>
      </c>
      <c r="Y19" s="16" t="s">
        <v>88</v>
      </c>
    </row>
    <row r="20" spans="1:25" x14ac:dyDescent="0.3">
      <c r="A20" s="4">
        <v>201</v>
      </c>
      <c r="B20" s="4">
        <f>IF(LOOKUP($A20, ALLCAMPERS!$A$11:$A$311, ALLCAMPERS!B$11:B$311) = 0, "", LOOKUP($A20, ALLCAMPERS!$A$11:$A$311, ALLCAMPERS!B$11:B$311))</f>
        <v>2</v>
      </c>
      <c r="C20" s="4">
        <f>IF(LOOKUP($A20, ALLCAMPERS!$A$11:$A$311, ALLCAMPERS!C$11:C$311) = 0, "", LOOKUP($A20, ALLCAMPERS!$A$11:$A$311, ALLCAMPERS!C$11:C$311))</f>
        <v>1</v>
      </c>
      <c r="D20" s="4" t="str">
        <f>IF(LOOKUP($A20, ALLCAMPERS!$A$11:$A$311, ALLCAMPERS!D$11:D$311) = 0, "", LOOKUP($A20, ALLCAMPERS!$A$11:$A$311, ALLCAMPERS!D$11:D$311))</f>
        <v>Leanna</v>
      </c>
      <c r="E20" s="4" t="str">
        <f>IF(LOOKUP($A20, ALLCAMPERS!$A$11:$A$311, ALLCAMPERS!E$11:E$311) = 0, "", LOOKUP($A20, ALLCAMPERS!$A$11:$A$311, ALLCAMPERS!E$11:E$311))</f>
        <v>SOUOUB</v>
      </c>
      <c r="F20" s="4" t="str">
        <f>IF(LOOKUP($A20, ALLCAMPERS!$A$11:$A$311, ALLCAMPERS!F$11:F$311) = 0, "", LOOKUP($A20, ALLCAMPERS!$A$11:$A$311, ALLCAMPERS!F$11:F$311))</f>
        <v/>
      </c>
      <c r="G20" s="4">
        <f>IF(LOOKUP($A20, ALLCAMPERS!$A$11:$A$311, ALLCAMPERS!G$11:G$311) = 0, "", LOOKUP($A20, ALLCAMPERS!$A$11:$A$311, ALLCAMPERS!G$11:G$311))</f>
        <v>4</v>
      </c>
      <c r="H20" s="4">
        <f>IF(LOOKUP($A20, ALLCAMPERS!$A$11:$A$311, ALLCAMPERS!H$11:H$311) = 0, "", LOOKUP($A20, ALLCAMPERS!$A$11:$A$311, ALLCAMPERS!H$11:H$311))</f>
        <v>7</v>
      </c>
      <c r="I20" s="4">
        <f>IF(LOOKUP($A20, ALLCAMPERS!$A$11:$A$311, ALLCAMPERS!I$11:I$311) = 0, "", LOOKUP($A20, ALLCAMPERS!$A$11:$A$311, ALLCAMPERS!I$11:I$311))</f>
        <v>1</v>
      </c>
      <c r="J20" s="4">
        <f>IF(LOOKUP($A20, ALLCAMPERS!$A$11:$A$311, ALLCAMPERS!J$11:J$311) = 0, "", LOOKUP($A20, ALLCAMPERS!$A$11:$A$311, ALLCAMPERS!J$11:J$311))</f>
        <v>7</v>
      </c>
      <c r="K20" s="4" t="str">
        <f>IF(LOOKUP($A20, ALLCAMPERS!$A$11:$A$311, ALLCAMPERS!K$11:K$311) = 0, "", LOOKUP($A20, ALLCAMPERS!$A$11:$A$311, ALLCAMPERS!K$11:K$311))</f>
        <v/>
      </c>
      <c r="L20" s="4" t="str">
        <f>IF(LOOKUP($A20, ALLCAMPERS!$A$11:$A$311, ALLCAMPERS!L$11:L$311) = 0, "", LOOKUP($A20, ALLCAMPERS!$A$11:$A$311, ALLCAMPERS!L$11:L$311))</f>
        <v/>
      </c>
      <c r="N20" s="4">
        <f>A20+1000</f>
        <v>1201</v>
      </c>
      <c r="O20" s="4">
        <f>LOOKUP(N20, ALLCAMPERS!$A$11:$A$311, ALLCAMPERS!$B$11:$B$311)</f>
        <v>12</v>
      </c>
      <c r="P20" s="4">
        <f>LOOKUP(N20, ALLCAMPERS!$A$11:$A$311, ALLCAMPERS!$C$11:$C$311)</f>
        <v>1</v>
      </c>
      <c r="Q20" s="4" t="str">
        <f>LOOKUP(N20, ALLCAMPERS!$A$11:$A$311, ALLCAMPERS!$D$11:$D$311)</f>
        <v>Sizar</v>
      </c>
      <c r="R20" s="4" t="str">
        <f>LOOKUP(N20, ALLCAMPERS!$A$11:$A$311, ALLCAMPERS!$E$11:$E$311)</f>
        <v>SAYEGH</v>
      </c>
      <c r="S20" s="4" t="str">
        <f>IF(LOOKUP($N20, ALLCAMPERS!$A$11:$A$311, ALLCAMPERS!F$11:F$311) = 0, "", LOOKUP($N20, ALLCAMPERS!$A$11:$A$311, ALLCAMPERS!F$11:F$311))</f>
        <v/>
      </c>
      <c r="T20" s="4">
        <f>IF(LOOKUP($N20, ALLCAMPERS!$A$11:$A$311, ALLCAMPERS!G$11:G$311) = 0, "", LOOKUP($N20, ALLCAMPERS!$A$11:$A$311, ALLCAMPERS!G$11:G$311))</f>
        <v>2</v>
      </c>
      <c r="U20" s="4">
        <f>IF(LOOKUP($N20, ALLCAMPERS!$A$11:$A$311, ALLCAMPERS!H$11:H$311) = 0, "", LOOKUP($N20, ALLCAMPERS!$A$11:$A$311, ALLCAMPERS!H$11:H$311))</f>
        <v>2</v>
      </c>
      <c r="V20" s="4">
        <f>IF(LOOKUP($N20, ALLCAMPERS!$A$11:$A$311, ALLCAMPERS!I$11:I$311) = 0, "", LOOKUP($N20, ALLCAMPERS!$A$11:$A$311, ALLCAMPERS!I$11:I$311))</f>
        <v>1</v>
      </c>
      <c r="W20" s="4">
        <f>IF(LOOKUP($N20, ALLCAMPERS!$A$11:$A$311, ALLCAMPERS!J$11:J$311) = 0, "", LOOKUP($N20, ALLCAMPERS!$A$11:$A$311, ALLCAMPERS!J$11:J$311))</f>
        <v>2</v>
      </c>
      <c r="X20" s="4" t="str">
        <f>IF(LOOKUP($N20, ALLCAMPERS!$A$11:$A$311, ALLCAMPERS!K$11:K$311) = 0, "", LOOKUP($N20, ALLCAMPERS!$A$11:$A$311, ALLCAMPERS!K$11:K$311))</f>
        <v/>
      </c>
      <c r="Y20" s="4" t="str">
        <f>IF(LOOKUP($N20, ALLCAMPERS!$A$11:$A$311, ALLCAMPERS!L$11:L$311) = 0, "", LOOKUP($N20, ALLCAMPERS!$A$11:$A$311, ALLCAMPERS!L$11:L$311))</f>
        <v/>
      </c>
    </row>
    <row r="21" spans="1:25" x14ac:dyDescent="0.3">
      <c r="A21" s="4">
        <f>A20+1</f>
        <v>202</v>
      </c>
      <c r="B21" s="4">
        <f>IF(LOOKUP($A21, ALLCAMPERS!$A$11:$A$311, ALLCAMPERS!B$11:B$311) = 0, "", LOOKUP($A21, ALLCAMPERS!$A$11:$A$311, ALLCAMPERS!B$11:B$311))</f>
        <v>2</v>
      </c>
      <c r="C21" s="4">
        <f>IF(LOOKUP($A21, ALLCAMPERS!$A$11:$A$311, ALLCAMPERS!C$11:C$311) = 0, "", LOOKUP($A21, ALLCAMPERS!$A$11:$A$311, ALLCAMPERS!C$11:C$311))</f>
        <v>2</v>
      </c>
      <c r="D21" s="4" t="str">
        <f>IF(LOOKUP($A21, ALLCAMPERS!$A$11:$A$311, ALLCAMPERS!D$11:D$311) = 0, "", LOOKUP($A21, ALLCAMPERS!$A$11:$A$311, ALLCAMPERS!D$11:D$311))</f>
        <v>Grace</v>
      </c>
      <c r="E21" s="4" t="str">
        <f>IF(LOOKUP($A21, ALLCAMPERS!$A$11:$A$311, ALLCAMPERS!E$11:E$311) = 0, "", LOOKUP($A21, ALLCAMPERS!$A$11:$A$311, ALLCAMPERS!E$11:E$311))</f>
        <v>FAWAZ</v>
      </c>
      <c r="F21" s="4" t="str">
        <f>IF(LOOKUP($A21, ALLCAMPERS!$A$11:$A$311, ALLCAMPERS!F$11:F$311) = 0, "", LOOKUP($A21, ALLCAMPERS!$A$11:$A$311, ALLCAMPERS!F$11:F$311))</f>
        <v/>
      </c>
      <c r="G21" s="4">
        <f>IF(LOOKUP($A21, ALLCAMPERS!$A$11:$A$311, ALLCAMPERS!G$11:G$311) = 0, "", LOOKUP($A21, ALLCAMPERS!$A$11:$A$311, ALLCAMPERS!G$11:G$311))</f>
        <v>7</v>
      </c>
      <c r="H21" s="4">
        <f>IF(LOOKUP($A21, ALLCAMPERS!$A$11:$A$311, ALLCAMPERS!H$11:H$311) = 0, "", LOOKUP($A21, ALLCAMPERS!$A$11:$A$311, ALLCAMPERS!H$11:H$311))</f>
        <v>2</v>
      </c>
      <c r="I21" s="4">
        <f>IF(LOOKUP($A21, ALLCAMPERS!$A$11:$A$311, ALLCAMPERS!I$11:I$311) = 0, "", LOOKUP($A21, ALLCAMPERS!$A$11:$A$311, ALLCAMPERS!I$11:I$311))</f>
        <v>1</v>
      </c>
      <c r="J21" s="4">
        <f>IF(LOOKUP($A21, ALLCAMPERS!$A$11:$A$311, ALLCAMPERS!J$11:J$311) = 0, "", LOOKUP($A21, ALLCAMPERS!$A$11:$A$311, ALLCAMPERS!J$11:J$311))</f>
        <v>2</v>
      </c>
      <c r="K21" s="4" t="str">
        <f>IF(LOOKUP($A21, ALLCAMPERS!$A$11:$A$311, ALLCAMPERS!K$11:K$311) = 0, "", LOOKUP($A21, ALLCAMPERS!$A$11:$A$311, ALLCAMPERS!K$11:K$311))</f>
        <v/>
      </c>
      <c r="L21" s="4" t="str">
        <f>IF(LOOKUP($A21, ALLCAMPERS!$A$11:$A$311, ALLCAMPERS!L$11:L$311) = 0, "", LOOKUP($A21, ALLCAMPERS!$A$11:$A$311, ALLCAMPERS!L$11:L$311))</f>
        <v/>
      </c>
      <c r="N21" s="4">
        <f>N20+1</f>
        <v>1202</v>
      </c>
      <c r="O21" s="4">
        <f>LOOKUP(N21, ALLCAMPERS!$A$11:$A$311, ALLCAMPERS!$B$11:$B$311)</f>
        <v>12</v>
      </c>
      <c r="P21" s="4">
        <f>LOOKUP(N21, ALLCAMPERS!$A$11:$A$311, ALLCAMPERS!$C$11:$C$311)</f>
        <v>2</v>
      </c>
      <c r="Q21" s="4" t="str">
        <f>LOOKUP(N21, ALLCAMPERS!$A$11:$A$311, ALLCAMPERS!$D$11:$D$311)</f>
        <v>Edward</v>
      </c>
      <c r="R21" s="4" t="str">
        <f>LOOKUP(N21, ALLCAMPERS!$A$11:$A$311, ALLCAMPERS!$E$11:$E$311)</f>
        <v>NAZHA</v>
      </c>
      <c r="S21" s="4" t="str">
        <f>IF(LOOKUP($N21, ALLCAMPERS!$A$11:$A$311, ALLCAMPERS!F$11:F$311) = 0, "", LOOKUP($N21, ALLCAMPERS!$A$11:$A$311, ALLCAMPERS!F$11:F$311))</f>
        <v/>
      </c>
      <c r="T21" s="4">
        <f>IF(LOOKUP($N21, ALLCAMPERS!$A$11:$A$311, ALLCAMPERS!G$11:G$311) = 0, "", LOOKUP($N21, ALLCAMPERS!$A$11:$A$311, ALLCAMPERS!G$11:G$311))</f>
        <v>7</v>
      </c>
      <c r="U21" s="4">
        <f>IF(LOOKUP($N21, ALLCAMPERS!$A$11:$A$311, ALLCAMPERS!H$11:H$311) = 0, "", LOOKUP($N21, ALLCAMPERS!$A$11:$A$311, ALLCAMPERS!H$11:H$311))</f>
        <v>4</v>
      </c>
      <c r="V21" s="4">
        <f>IF(LOOKUP($N21, ALLCAMPERS!$A$11:$A$311, ALLCAMPERS!I$11:I$311) = 0, "", LOOKUP($N21, ALLCAMPERS!$A$11:$A$311, ALLCAMPERS!I$11:I$311))</f>
        <v>6</v>
      </c>
      <c r="W21" s="4">
        <f>IF(LOOKUP($N21, ALLCAMPERS!$A$11:$A$311, ALLCAMPERS!J$11:J$311) = 0, "", LOOKUP($N21, ALLCAMPERS!$A$11:$A$311, ALLCAMPERS!J$11:J$311))</f>
        <v>4</v>
      </c>
      <c r="X21" s="4" t="str">
        <f>IF(LOOKUP($N21, ALLCAMPERS!$A$11:$A$311, ALLCAMPERS!K$11:K$311) = 0, "", LOOKUP($N21, ALLCAMPERS!$A$11:$A$311, ALLCAMPERS!K$11:K$311))</f>
        <v/>
      </c>
      <c r="Y21" s="4" t="str">
        <f>IF(LOOKUP($N21, ALLCAMPERS!$A$11:$A$311, ALLCAMPERS!L$11:L$311) = 0, "", LOOKUP($N21, ALLCAMPERS!$A$11:$A$311, ALLCAMPERS!L$11:L$311))</f>
        <v/>
      </c>
    </row>
    <row r="22" spans="1:25" x14ac:dyDescent="0.3">
      <c r="A22" s="4">
        <f t="shared" ref="A22:A24" si="2">A21+1</f>
        <v>203</v>
      </c>
      <c r="B22" s="4">
        <f>IF(LOOKUP($A22, ALLCAMPERS!$A$11:$A$311, ALLCAMPERS!B$11:B$311) = 0, "", LOOKUP($A22, ALLCAMPERS!$A$11:$A$311, ALLCAMPERS!B$11:B$311))</f>
        <v>2</v>
      </c>
      <c r="C22" s="4">
        <f>IF(LOOKUP($A22, ALLCAMPERS!$A$11:$A$311, ALLCAMPERS!C$11:C$311) = 0, "", LOOKUP($A22, ALLCAMPERS!$A$11:$A$311, ALLCAMPERS!C$11:C$311))</f>
        <v>3</v>
      </c>
      <c r="D22" s="4" t="str">
        <f>IF(LOOKUP($A22, ALLCAMPERS!$A$11:$A$311, ALLCAMPERS!D$11:D$311) = 0, "", LOOKUP($A22, ALLCAMPERS!$A$11:$A$311, ALLCAMPERS!D$11:D$311))</f>
        <v>Semon</v>
      </c>
      <c r="E22" s="4" t="str">
        <f>IF(LOOKUP($A22, ALLCAMPERS!$A$11:$A$311, ALLCAMPERS!E$11:E$311) = 0, "", LOOKUP($A22, ALLCAMPERS!$A$11:$A$311, ALLCAMPERS!E$11:E$311))</f>
        <v>HODHOD</v>
      </c>
      <c r="F22" s="4" t="str">
        <f>IF(LOOKUP($A22, ALLCAMPERS!$A$11:$A$311, ALLCAMPERS!F$11:F$311) = 0, "", LOOKUP($A22, ALLCAMPERS!$A$11:$A$311, ALLCAMPERS!F$11:F$311))</f>
        <v/>
      </c>
      <c r="G22" s="4">
        <f>IF(LOOKUP($A22, ALLCAMPERS!$A$11:$A$311, ALLCAMPERS!G$11:G$311) = 0, "", LOOKUP($A22, ALLCAMPERS!$A$11:$A$311, ALLCAMPERS!G$11:G$311))</f>
        <v>6</v>
      </c>
      <c r="H22" s="4">
        <f>IF(LOOKUP($A22, ALLCAMPERS!$A$11:$A$311, ALLCAMPERS!H$11:H$311) = 0, "", LOOKUP($A22, ALLCAMPERS!$A$11:$A$311, ALLCAMPERS!H$11:H$311))</f>
        <v>7</v>
      </c>
      <c r="I22" s="4">
        <f>IF(LOOKUP($A22, ALLCAMPERS!$A$11:$A$311, ALLCAMPERS!I$11:I$311) = 0, "", LOOKUP($A22, ALLCAMPERS!$A$11:$A$311, ALLCAMPERS!I$11:I$311))</f>
        <v>6</v>
      </c>
      <c r="J22" s="4">
        <f>IF(LOOKUP($A22, ALLCAMPERS!$A$11:$A$311, ALLCAMPERS!J$11:J$311) = 0, "", LOOKUP($A22, ALLCAMPERS!$A$11:$A$311, ALLCAMPERS!J$11:J$311))</f>
        <v>3</v>
      </c>
      <c r="K22" s="4" t="str">
        <f>IF(LOOKUP($A22, ALLCAMPERS!$A$11:$A$311, ALLCAMPERS!K$11:K$311) = 0, "", LOOKUP($A22, ALLCAMPERS!$A$11:$A$311, ALLCAMPERS!K$11:K$311))</f>
        <v/>
      </c>
      <c r="L22" s="4" t="str">
        <f>IF(LOOKUP($A22, ALLCAMPERS!$A$11:$A$311, ALLCAMPERS!L$11:L$311) = 0, "", LOOKUP($A22, ALLCAMPERS!$A$11:$A$311, ALLCAMPERS!L$11:L$311))</f>
        <v/>
      </c>
      <c r="N22" s="4">
        <f t="shared" ref="N22:N27" si="3">N21+1</f>
        <v>1203</v>
      </c>
      <c r="O22" s="4">
        <f>LOOKUP(N22, ALLCAMPERS!$A$11:$A$311, ALLCAMPERS!$B$11:$B$311)</f>
        <v>12</v>
      </c>
      <c r="P22" s="4">
        <f>LOOKUP(N22, ALLCAMPERS!$A$11:$A$311, ALLCAMPERS!$C$11:$C$311)</f>
        <v>3</v>
      </c>
      <c r="Q22" s="4" t="str">
        <f>LOOKUP(N22, ALLCAMPERS!$A$11:$A$311, ALLCAMPERS!$D$11:$D$311)</f>
        <v>Sammy</v>
      </c>
      <c r="R22" s="4" t="str">
        <f>LOOKUP(N22, ALLCAMPERS!$A$11:$A$311, ALLCAMPERS!$E$11:$E$311)</f>
        <v>FAKHOURI</v>
      </c>
      <c r="S22" s="4" t="str">
        <f>IF(LOOKUP($N22, ALLCAMPERS!$A$11:$A$311, ALLCAMPERS!F$11:F$311) = 0, "", LOOKUP($N22, ALLCAMPERS!$A$11:$A$311, ALLCAMPERS!F$11:F$311))</f>
        <v/>
      </c>
      <c r="T22" s="4">
        <f>IF(LOOKUP($N22, ALLCAMPERS!$A$11:$A$311, ALLCAMPERS!G$11:G$311) = 0, "", LOOKUP($N22, ALLCAMPERS!$A$11:$A$311, ALLCAMPERS!G$11:G$311))</f>
        <v>2</v>
      </c>
      <c r="U22" s="4">
        <f>IF(LOOKUP($N22, ALLCAMPERS!$A$11:$A$311, ALLCAMPERS!H$11:H$311) = 0, "", LOOKUP($N22, ALLCAMPERS!$A$11:$A$311, ALLCAMPERS!H$11:H$311))</f>
        <v>6</v>
      </c>
      <c r="V22" s="4">
        <f>IF(LOOKUP($N22, ALLCAMPERS!$A$11:$A$311, ALLCAMPERS!I$11:I$311) = 0, "", LOOKUP($N22, ALLCAMPERS!$A$11:$A$311, ALLCAMPERS!I$11:I$311))</f>
        <v>3</v>
      </c>
      <c r="W22" s="4">
        <f>IF(LOOKUP($N22, ALLCAMPERS!$A$11:$A$311, ALLCAMPERS!J$11:J$311) = 0, "", LOOKUP($N22, ALLCAMPERS!$A$11:$A$311, ALLCAMPERS!J$11:J$311))</f>
        <v>3</v>
      </c>
      <c r="X22" s="4" t="str">
        <f>IF(LOOKUP($N22, ALLCAMPERS!$A$11:$A$311, ALLCAMPERS!K$11:K$311) = 0, "", LOOKUP($N22, ALLCAMPERS!$A$11:$A$311, ALLCAMPERS!K$11:K$311))</f>
        <v/>
      </c>
      <c r="Y22" s="4" t="str">
        <f>IF(LOOKUP($N22, ALLCAMPERS!$A$11:$A$311, ALLCAMPERS!L$11:L$311) = 0, "", LOOKUP($N22, ALLCAMPERS!$A$11:$A$311, ALLCAMPERS!L$11:L$311))</f>
        <v/>
      </c>
    </row>
    <row r="23" spans="1:25" x14ac:dyDescent="0.3">
      <c r="A23" s="4">
        <f t="shared" si="2"/>
        <v>204</v>
      </c>
      <c r="B23" s="4">
        <f>IF(LOOKUP($A23, ALLCAMPERS!$A$11:$A$311, ALLCAMPERS!B$11:B$311) = 0, "", LOOKUP($A23, ALLCAMPERS!$A$11:$A$311, ALLCAMPERS!B$11:B$311))</f>
        <v>2</v>
      </c>
      <c r="C23" s="4">
        <f>IF(LOOKUP($A23, ALLCAMPERS!$A$11:$A$311, ALLCAMPERS!C$11:C$311) = 0, "", LOOKUP($A23, ALLCAMPERS!$A$11:$A$311, ALLCAMPERS!C$11:C$311))</f>
        <v>4</v>
      </c>
      <c r="D23" s="4" t="str">
        <f>IF(LOOKUP($A23, ALLCAMPERS!$A$11:$A$311, ALLCAMPERS!D$11:D$311) = 0, "", LOOKUP($A23, ALLCAMPERS!$A$11:$A$311, ALLCAMPERS!D$11:D$311))</f>
        <v>Danielle</v>
      </c>
      <c r="E23" s="4" t="str">
        <f>IF(LOOKUP($A23, ALLCAMPERS!$A$11:$A$311, ALLCAMPERS!E$11:E$311) = 0, "", LOOKUP($A23, ALLCAMPERS!$A$11:$A$311, ALLCAMPERS!E$11:E$311))</f>
        <v>CHAYEB</v>
      </c>
      <c r="F23" s="4" t="str">
        <f>IF(LOOKUP($A23, ALLCAMPERS!$A$11:$A$311, ALLCAMPERS!F$11:F$311) = 0, "", LOOKUP($A23, ALLCAMPERS!$A$11:$A$311, ALLCAMPERS!F$11:F$311))</f>
        <v/>
      </c>
      <c r="G23" s="4">
        <f>IF(LOOKUP($A23, ALLCAMPERS!$A$11:$A$311, ALLCAMPERS!G$11:G$311) = 0, "", LOOKUP($A23, ALLCAMPERS!$A$11:$A$311, ALLCAMPERS!G$11:G$311))</f>
        <v>6</v>
      </c>
      <c r="H23" s="4">
        <f>IF(LOOKUP($A23, ALLCAMPERS!$A$11:$A$311, ALLCAMPERS!H$11:H$311) = 0, "", LOOKUP($A23, ALLCAMPERS!$A$11:$A$311, ALLCAMPERS!H$11:H$311))</f>
        <v>4</v>
      </c>
      <c r="I23" s="4">
        <f>IF(LOOKUP($A23, ALLCAMPERS!$A$11:$A$311, ALLCAMPERS!I$11:I$311) = 0, "", LOOKUP($A23, ALLCAMPERS!$A$11:$A$311, ALLCAMPERS!I$11:I$311))</f>
        <v>5</v>
      </c>
      <c r="J23" s="4">
        <f>IF(LOOKUP($A23, ALLCAMPERS!$A$11:$A$311, ALLCAMPERS!J$11:J$311) = 0, "", LOOKUP($A23, ALLCAMPERS!$A$11:$A$311, ALLCAMPERS!J$11:J$311))</f>
        <v>5</v>
      </c>
      <c r="K23" s="4" t="str">
        <f>IF(LOOKUP($A23, ALLCAMPERS!$A$11:$A$311, ALLCAMPERS!K$11:K$311) = 0, "", LOOKUP($A23, ALLCAMPERS!$A$11:$A$311, ALLCAMPERS!K$11:K$311))</f>
        <v/>
      </c>
      <c r="L23" s="4" t="str">
        <f>IF(LOOKUP($A23, ALLCAMPERS!$A$11:$A$311, ALLCAMPERS!L$11:L$311) = 0, "", LOOKUP($A23, ALLCAMPERS!$A$11:$A$311, ALLCAMPERS!L$11:L$311))</f>
        <v/>
      </c>
      <c r="N23" s="4">
        <f t="shared" si="3"/>
        <v>1204</v>
      </c>
      <c r="O23" s="4">
        <f>LOOKUP(N23, ALLCAMPERS!$A$11:$A$311, ALLCAMPERS!$B$11:$B$311)</f>
        <v>12</v>
      </c>
      <c r="P23" s="4">
        <f>LOOKUP(N23, ALLCAMPERS!$A$11:$A$311, ALLCAMPERS!$C$11:$C$311)</f>
        <v>4</v>
      </c>
      <c r="Q23" s="4" t="str">
        <f>LOOKUP(N23, ALLCAMPERS!$A$11:$A$311, ALLCAMPERS!$D$11:$D$311)</f>
        <v>Patrick</v>
      </c>
      <c r="R23" s="4" t="str">
        <f>LOOKUP(N23, ALLCAMPERS!$A$11:$A$311, ALLCAMPERS!$E$11:$E$311)</f>
        <v>FAKHOURI</v>
      </c>
      <c r="S23" s="4" t="str">
        <f>IF(LOOKUP($N23, ALLCAMPERS!$A$11:$A$311, ALLCAMPERS!F$11:F$311) = 0, "", LOOKUP($N23, ALLCAMPERS!$A$11:$A$311, ALLCAMPERS!F$11:F$311))</f>
        <v/>
      </c>
      <c r="T23" s="4">
        <f>IF(LOOKUP($N23, ALLCAMPERS!$A$11:$A$311, ALLCAMPERS!G$11:G$311) = 0, "", LOOKUP($N23, ALLCAMPERS!$A$11:$A$311, ALLCAMPERS!G$11:G$311))</f>
        <v>4</v>
      </c>
      <c r="U23" s="4">
        <f>IF(LOOKUP($N23, ALLCAMPERS!$A$11:$A$311, ALLCAMPERS!H$11:H$311) = 0, "", LOOKUP($N23, ALLCAMPERS!$A$11:$A$311, ALLCAMPERS!H$11:H$311))</f>
        <v>4</v>
      </c>
      <c r="V23" s="4">
        <f>IF(LOOKUP($N23, ALLCAMPERS!$A$11:$A$311, ALLCAMPERS!I$11:I$311) = 0, "", LOOKUP($N23, ALLCAMPERS!$A$11:$A$311, ALLCAMPERS!I$11:I$311))</f>
        <v>2</v>
      </c>
      <c r="W23" s="4">
        <f>IF(LOOKUP($N23, ALLCAMPERS!$A$11:$A$311, ALLCAMPERS!J$11:J$311) = 0, "", LOOKUP($N23, ALLCAMPERS!$A$11:$A$311, ALLCAMPERS!J$11:J$311))</f>
        <v>5</v>
      </c>
      <c r="X23" s="4" t="str">
        <f>IF(LOOKUP($N23, ALLCAMPERS!$A$11:$A$311, ALLCAMPERS!K$11:K$311) = 0, "", LOOKUP($N23, ALLCAMPERS!$A$11:$A$311, ALLCAMPERS!K$11:K$311))</f>
        <v/>
      </c>
      <c r="Y23" s="4" t="str">
        <f>IF(LOOKUP($N23, ALLCAMPERS!$A$11:$A$311, ALLCAMPERS!L$11:L$311) = 0, "", LOOKUP($N23, ALLCAMPERS!$A$11:$A$311, ALLCAMPERS!L$11:L$311))</f>
        <v/>
      </c>
    </row>
    <row r="24" spans="1:25" x14ac:dyDescent="0.3">
      <c r="A24" s="4">
        <f t="shared" si="2"/>
        <v>205</v>
      </c>
      <c r="B24" s="4">
        <f>IF(LOOKUP($A24, ALLCAMPERS!$A$11:$A$311, ALLCAMPERS!B$11:B$311) = 0, "", LOOKUP($A24, ALLCAMPERS!$A$11:$A$311, ALLCAMPERS!B$11:B$311))</f>
        <v>2</v>
      </c>
      <c r="C24" s="4">
        <f>IF(LOOKUP($A24, ALLCAMPERS!$A$11:$A$311, ALLCAMPERS!C$11:C$311) = 0, "", LOOKUP($A24, ALLCAMPERS!$A$11:$A$311, ALLCAMPERS!C$11:C$311))</f>
        <v>5</v>
      </c>
      <c r="D24" s="4" t="str">
        <f>IF(LOOKUP($A24, ALLCAMPERS!$A$11:$A$311, ALLCAMPERS!D$11:D$311) = 0, "", LOOKUP($A24, ALLCAMPERS!$A$11:$A$311, ALLCAMPERS!D$11:D$311))</f>
        <v>Lily</v>
      </c>
      <c r="E24" s="4" t="str">
        <f>IF(LOOKUP($A24, ALLCAMPERS!$A$11:$A$311, ALLCAMPERS!E$11:E$311) = 0, "", LOOKUP($A24, ALLCAMPERS!$A$11:$A$311, ALLCAMPERS!E$11:E$311))</f>
        <v>HOPKINSON</v>
      </c>
      <c r="F24" s="4" t="str">
        <f>IF(LOOKUP($A24, ALLCAMPERS!$A$11:$A$311, ALLCAMPERS!F$11:F$311) = 0, "", LOOKUP($A24, ALLCAMPERS!$A$11:$A$311, ALLCAMPERS!F$11:F$311))</f>
        <v/>
      </c>
      <c r="G24" s="4">
        <f>IF(LOOKUP($A24, ALLCAMPERS!$A$11:$A$311, ALLCAMPERS!G$11:G$311) = 0, "", LOOKUP($A24, ALLCAMPERS!$A$11:$A$311, ALLCAMPERS!G$11:G$311))</f>
        <v>2</v>
      </c>
      <c r="H24" s="4">
        <f>IF(LOOKUP($A24, ALLCAMPERS!$A$11:$A$311, ALLCAMPERS!H$11:H$311) = 0, "", LOOKUP($A24, ALLCAMPERS!$A$11:$A$311, ALLCAMPERS!H$11:H$311))</f>
        <v>2</v>
      </c>
      <c r="I24" s="4">
        <f>IF(LOOKUP($A24, ALLCAMPERS!$A$11:$A$311, ALLCAMPERS!I$11:I$311) = 0, "", LOOKUP($A24, ALLCAMPERS!$A$11:$A$311, ALLCAMPERS!I$11:I$311))</f>
        <v>5</v>
      </c>
      <c r="J24" s="4">
        <f>IF(LOOKUP($A24, ALLCAMPERS!$A$11:$A$311, ALLCAMPERS!J$11:J$311) = 0, "", LOOKUP($A24, ALLCAMPERS!$A$11:$A$311, ALLCAMPERS!J$11:J$311))</f>
        <v>6</v>
      </c>
      <c r="K24" s="4" t="str">
        <f>IF(LOOKUP($A24, ALLCAMPERS!$A$11:$A$311, ALLCAMPERS!K$11:K$311) = 0, "", LOOKUP($A24, ALLCAMPERS!$A$11:$A$311, ALLCAMPERS!K$11:K$311))</f>
        <v/>
      </c>
      <c r="L24" s="4" t="str">
        <f>IF(LOOKUP($A24, ALLCAMPERS!$A$11:$A$311, ALLCAMPERS!L$11:L$311) = 0, "", LOOKUP($A24, ALLCAMPERS!$A$11:$A$311, ALLCAMPERS!L$11:L$311))</f>
        <v/>
      </c>
      <c r="N24" s="4">
        <f t="shared" si="3"/>
        <v>1205</v>
      </c>
      <c r="O24" s="4">
        <f>LOOKUP(N24, ALLCAMPERS!$A$11:$A$311, ALLCAMPERS!$B$11:$B$311)</f>
        <v>12</v>
      </c>
      <c r="P24" s="4">
        <f>LOOKUP(N24, ALLCAMPERS!$A$11:$A$311, ALLCAMPERS!$C$11:$C$311)</f>
        <v>5</v>
      </c>
      <c r="Q24" s="4" t="str">
        <f>LOOKUP(N24, ALLCAMPERS!$A$11:$A$311, ALLCAMPERS!$D$11:$D$311)</f>
        <v>Christopher</v>
      </c>
      <c r="R24" s="4" t="str">
        <f>LOOKUP(N24, ALLCAMPERS!$A$11:$A$311, ALLCAMPERS!$E$11:$E$311)</f>
        <v>ACCAD</v>
      </c>
      <c r="S24" s="4" t="str">
        <f>IF(LOOKUP($N24, ALLCAMPERS!$A$11:$A$311, ALLCAMPERS!F$11:F$311) = 0, "", LOOKUP($N24, ALLCAMPERS!$A$11:$A$311, ALLCAMPERS!F$11:F$311))</f>
        <v/>
      </c>
      <c r="T24" s="4">
        <f>IF(LOOKUP($N24, ALLCAMPERS!$A$11:$A$311, ALLCAMPERS!G$11:G$311) = 0, "", LOOKUP($N24, ALLCAMPERS!$A$11:$A$311, ALLCAMPERS!G$11:G$311))</f>
        <v>7</v>
      </c>
      <c r="U24" s="4">
        <f>IF(LOOKUP($N24, ALLCAMPERS!$A$11:$A$311, ALLCAMPERS!H$11:H$311) = 0, "", LOOKUP($N24, ALLCAMPERS!$A$11:$A$311, ALLCAMPERS!H$11:H$311))</f>
        <v>1</v>
      </c>
      <c r="V24" s="4">
        <f>IF(LOOKUP($N24, ALLCAMPERS!$A$11:$A$311, ALLCAMPERS!I$11:I$311) = 0, "", LOOKUP($N24, ALLCAMPERS!$A$11:$A$311, ALLCAMPERS!I$11:I$311))</f>
        <v>2</v>
      </c>
      <c r="W24" s="4">
        <f>IF(LOOKUP($N24, ALLCAMPERS!$A$11:$A$311, ALLCAMPERS!J$11:J$311) = 0, "", LOOKUP($N24, ALLCAMPERS!$A$11:$A$311, ALLCAMPERS!J$11:J$311))</f>
        <v>6</v>
      </c>
      <c r="X24" s="4" t="str">
        <f>IF(LOOKUP($N24, ALLCAMPERS!$A$11:$A$311, ALLCAMPERS!K$11:K$311) = 0, "", LOOKUP($N24, ALLCAMPERS!$A$11:$A$311, ALLCAMPERS!K$11:K$311))</f>
        <v/>
      </c>
      <c r="Y24" s="4" t="str">
        <f>IF(LOOKUP($N24, ALLCAMPERS!$A$11:$A$311, ALLCAMPERS!L$11:L$311) = 0, "", LOOKUP($N24, ALLCAMPERS!$A$11:$A$311, ALLCAMPERS!L$11:L$311))</f>
        <v/>
      </c>
    </row>
    <row r="25" spans="1:25" x14ac:dyDescent="0.3">
      <c r="A25" s="4">
        <f t="shared" ref="A25:A27" si="4">A24+1</f>
        <v>206</v>
      </c>
      <c r="B25" s="4">
        <f>IF(LOOKUP($A25, ALLCAMPERS!$A$11:$A$311, ALLCAMPERS!B$11:B$311) = 0, "", LOOKUP($A25, ALLCAMPERS!$A$11:$A$311, ALLCAMPERS!B$11:B$311))</f>
        <v>2</v>
      </c>
      <c r="C25" s="4">
        <f>IF(LOOKUP($A25, ALLCAMPERS!$A$11:$A$311, ALLCAMPERS!C$11:C$311) = 0, "", LOOKUP($A25, ALLCAMPERS!$A$11:$A$311, ALLCAMPERS!C$11:C$311))</f>
        <v>6</v>
      </c>
      <c r="D25" s="4" t="str">
        <f>IF(LOOKUP($A25, ALLCAMPERS!$A$11:$A$311, ALLCAMPERS!D$11:D$311) = 0, "", LOOKUP($A25, ALLCAMPERS!$A$11:$A$311, ALLCAMPERS!D$11:D$311))</f>
        <v>Zeina</v>
      </c>
      <c r="E25" s="4" t="str">
        <f>IF(LOOKUP($A25, ALLCAMPERS!$A$11:$A$311, ALLCAMPERS!E$11:E$311) = 0, "", LOOKUP($A25, ALLCAMPERS!$A$11:$A$311, ALLCAMPERS!E$11:E$311))</f>
        <v>BSHARA</v>
      </c>
      <c r="F25" s="4" t="str">
        <f>IF(LOOKUP($A25, ALLCAMPERS!$A$11:$A$311, ALLCAMPERS!F$11:F$311) = 0, "", LOOKUP($A25, ALLCAMPERS!$A$11:$A$311, ALLCAMPERS!F$11:F$311))</f>
        <v/>
      </c>
      <c r="G25" s="4">
        <f>IF(LOOKUP($A25, ALLCAMPERS!$A$11:$A$311, ALLCAMPERS!G$11:G$311) = 0, "", LOOKUP($A25, ALLCAMPERS!$A$11:$A$311, ALLCAMPERS!G$11:G$311))</f>
        <v>3</v>
      </c>
      <c r="H25" s="4">
        <f>IF(LOOKUP($A25, ALLCAMPERS!$A$11:$A$311, ALLCAMPERS!H$11:H$311) = 0, "", LOOKUP($A25, ALLCAMPERS!$A$11:$A$311, ALLCAMPERS!H$11:H$311))</f>
        <v>1</v>
      </c>
      <c r="I25" s="4">
        <f>IF(LOOKUP($A25, ALLCAMPERS!$A$11:$A$311, ALLCAMPERS!I$11:I$311) = 0, "", LOOKUP($A25, ALLCAMPERS!$A$11:$A$311, ALLCAMPERS!I$11:I$311))</f>
        <v>1</v>
      </c>
      <c r="J25" s="4">
        <f>IF(LOOKUP($A25, ALLCAMPERS!$A$11:$A$311, ALLCAMPERS!J$11:J$311) = 0, "", LOOKUP($A25, ALLCAMPERS!$A$11:$A$311, ALLCAMPERS!J$11:J$311))</f>
        <v>1</v>
      </c>
      <c r="K25" s="4" t="str">
        <f>IF(LOOKUP($A25, ALLCAMPERS!$A$11:$A$311, ALLCAMPERS!K$11:K$311) = 0, "", LOOKUP($A25, ALLCAMPERS!$A$11:$A$311, ALLCAMPERS!K$11:K$311))</f>
        <v/>
      </c>
      <c r="L25" s="4" t="str">
        <f>IF(LOOKUP($A25, ALLCAMPERS!$A$11:$A$311, ALLCAMPERS!L$11:L$311) = 0, "", LOOKUP($A25, ALLCAMPERS!$A$11:$A$311, ALLCAMPERS!L$11:L$311))</f>
        <v/>
      </c>
      <c r="N25" s="4">
        <f t="shared" si="3"/>
        <v>1206</v>
      </c>
      <c r="O25" s="4">
        <f>LOOKUP(N25, ALLCAMPERS!$A$11:$A$311, ALLCAMPERS!$B$11:$B$311)</f>
        <v>12</v>
      </c>
      <c r="P25" s="4">
        <f>LOOKUP(N25, ALLCAMPERS!$A$11:$A$311, ALLCAMPERS!$C$11:$C$311)</f>
        <v>6</v>
      </c>
      <c r="Q25" s="4" t="str">
        <f>LOOKUP(N25, ALLCAMPERS!$A$11:$A$311, ALLCAMPERS!$D$11:$D$311)</f>
        <v>Daniel</v>
      </c>
      <c r="R25" s="4" t="str">
        <f>LOOKUP(N25, ALLCAMPERS!$A$11:$A$311, ALLCAMPERS!$E$11:$E$311)</f>
        <v>MANSOUR</v>
      </c>
      <c r="S25" s="4" t="str">
        <f>IF(LOOKUP($N25, ALLCAMPERS!$A$11:$A$311, ALLCAMPERS!F$11:F$311) = 0, "", LOOKUP($N25, ALLCAMPERS!$A$11:$A$311, ALLCAMPERS!F$11:F$311))</f>
        <v/>
      </c>
      <c r="T25" s="4">
        <f>IF(LOOKUP($N25, ALLCAMPERS!$A$11:$A$311, ALLCAMPERS!G$11:G$311) = 0, "", LOOKUP($N25, ALLCAMPERS!$A$11:$A$311, ALLCAMPERS!G$11:G$311))</f>
        <v>2</v>
      </c>
      <c r="U25" s="4">
        <f>IF(LOOKUP($N25, ALLCAMPERS!$A$11:$A$311, ALLCAMPERS!H$11:H$311) = 0, "", LOOKUP($N25, ALLCAMPERS!$A$11:$A$311, ALLCAMPERS!H$11:H$311))</f>
        <v>4</v>
      </c>
      <c r="V25" s="4">
        <f>IF(LOOKUP($N25, ALLCAMPERS!$A$11:$A$311, ALLCAMPERS!I$11:I$311) = 0, "", LOOKUP($N25, ALLCAMPERS!$A$11:$A$311, ALLCAMPERS!I$11:I$311))</f>
        <v>6</v>
      </c>
      <c r="W25" s="4">
        <f>IF(LOOKUP($N25, ALLCAMPERS!$A$11:$A$311, ALLCAMPERS!J$11:J$311) = 0, "", LOOKUP($N25, ALLCAMPERS!$A$11:$A$311, ALLCAMPERS!J$11:J$311))</f>
        <v>4</v>
      </c>
      <c r="X25" s="4" t="str">
        <f>IF(LOOKUP($N25, ALLCAMPERS!$A$11:$A$311, ALLCAMPERS!K$11:K$311) = 0, "", LOOKUP($N25, ALLCAMPERS!$A$11:$A$311, ALLCAMPERS!K$11:K$311))</f>
        <v/>
      </c>
      <c r="Y25" s="4" t="str">
        <f>IF(LOOKUP($N25, ALLCAMPERS!$A$11:$A$311, ALLCAMPERS!L$11:L$311) = 0, "", LOOKUP($N25, ALLCAMPERS!$A$11:$A$311, ALLCAMPERS!L$11:L$311))</f>
        <v/>
      </c>
    </row>
    <row r="26" spans="1:25" x14ac:dyDescent="0.3">
      <c r="A26" s="4">
        <f t="shared" si="4"/>
        <v>207</v>
      </c>
      <c r="B26" s="4">
        <f>IF(LOOKUP($A26, ALLCAMPERS!$A$11:$A$311, ALLCAMPERS!B$11:B$311) = 0, "", LOOKUP($A26, ALLCAMPERS!$A$11:$A$311, ALLCAMPERS!B$11:B$311))</f>
        <v>2</v>
      </c>
      <c r="C26" s="4">
        <f>IF(LOOKUP($A26, ALLCAMPERS!$A$11:$A$311, ALLCAMPERS!C$11:C$311) = 0, "", LOOKUP($A26, ALLCAMPERS!$A$11:$A$311, ALLCAMPERS!C$11:C$311))</f>
        <v>7</v>
      </c>
      <c r="D26" s="4" t="str">
        <f>IF(LOOKUP($A26, ALLCAMPERS!$A$11:$A$311, ALLCAMPERS!D$11:D$311) = 0, "", LOOKUP($A26, ALLCAMPERS!$A$11:$A$311, ALLCAMPERS!D$11:D$311))</f>
        <v>Roomi-Elena</v>
      </c>
      <c r="E26" s="4" t="str">
        <f>IF(LOOKUP($A26, ALLCAMPERS!$A$11:$A$311, ALLCAMPERS!E$11:E$311) = 0, "", LOOKUP($A26, ALLCAMPERS!$A$11:$A$311, ALLCAMPERS!E$11:E$311))</f>
        <v>HADDAD</v>
      </c>
      <c r="F26" s="4" t="str">
        <f>IF(LOOKUP($A26, ALLCAMPERS!$A$11:$A$311, ALLCAMPERS!F$11:F$311) = 0, "", LOOKUP($A26, ALLCAMPERS!$A$11:$A$311, ALLCAMPERS!F$11:F$311))</f>
        <v/>
      </c>
      <c r="G26" s="4">
        <f>IF(LOOKUP($A26, ALLCAMPERS!$A$11:$A$311, ALLCAMPERS!G$11:G$311) = 0, "", LOOKUP($A26, ALLCAMPERS!$A$11:$A$311, ALLCAMPERS!G$11:G$311))</f>
        <v>4</v>
      </c>
      <c r="H26" s="4">
        <f>IF(LOOKUP($A26, ALLCAMPERS!$A$11:$A$311, ALLCAMPERS!H$11:H$311) = 0, "", LOOKUP($A26, ALLCAMPERS!$A$11:$A$311, ALLCAMPERS!H$11:H$311))</f>
        <v>1</v>
      </c>
      <c r="I26" s="4">
        <f>IF(LOOKUP($A26, ALLCAMPERS!$A$11:$A$311, ALLCAMPERS!I$11:I$311) = 0, "", LOOKUP($A26, ALLCAMPERS!$A$11:$A$311, ALLCAMPERS!I$11:I$311))</f>
        <v>1</v>
      </c>
      <c r="J26" s="4">
        <f>IF(LOOKUP($A26, ALLCAMPERS!$A$11:$A$311, ALLCAMPERS!J$11:J$311) = 0, "", LOOKUP($A26, ALLCAMPERS!$A$11:$A$311, ALLCAMPERS!J$11:J$311))</f>
        <v>2</v>
      </c>
      <c r="K26" s="4" t="str">
        <f>IF(LOOKUP($A26, ALLCAMPERS!$A$11:$A$311, ALLCAMPERS!K$11:K$311) = 0, "", LOOKUP($A26, ALLCAMPERS!$A$11:$A$311, ALLCAMPERS!K$11:K$311))</f>
        <v/>
      </c>
      <c r="L26" s="4" t="str">
        <f>IF(LOOKUP($A26, ALLCAMPERS!$A$11:$A$311, ALLCAMPERS!L$11:L$311) = 0, "", LOOKUP($A26, ALLCAMPERS!$A$11:$A$311, ALLCAMPERS!L$11:L$311))</f>
        <v/>
      </c>
      <c r="N26" s="4">
        <f t="shared" si="3"/>
        <v>1207</v>
      </c>
      <c r="O26" s="4">
        <f>LOOKUP(N26, ALLCAMPERS!$A$11:$A$311, ALLCAMPERS!$B$11:$B$311)</f>
        <v>12</v>
      </c>
      <c r="P26" s="4">
        <f>LOOKUP(N26, ALLCAMPERS!$A$11:$A$311, ALLCAMPERS!$C$11:$C$311)</f>
        <v>7</v>
      </c>
      <c r="Q26" s="4" t="str">
        <f>LOOKUP(N26, ALLCAMPERS!$A$11:$A$311, ALLCAMPERS!$D$11:$D$311)</f>
        <v>Joseph</v>
      </c>
      <c r="R26" s="4" t="str">
        <f>LOOKUP(N26, ALLCAMPERS!$A$11:$A$311, ALLCAMPERS!$E$11:$E$311)</f>
        <v>WEHBI</v>
      </c>
      <c r="S26" s="4" t="str">
        <f>IF(LOOKUP($N26, ALLCAMPERS!$A$11:$A$311, ALLCAMPERS!F$11:F$311) = 0, "", LOOKUP($N26, ALLCAMPERS!$A$11:$A$311, ALLCAMPERS!F$11:F$311))</f>
        <v/>
      </c>
      <c r="T26" s="4">
        <f>IF(LOOKUP($N26, ALLCAMPERS!$A$11:$A$311, ALLCAMPERS!G$11:G$311) = 0, "", LOOKUP($N26, ALLCAMPERS!$A$11:$A$311, ALLCAMPERS!G$11:G$311))</f>
        <v>5</v>
      </c>
      <c r="U26" s="4">
        <f>IF(LOOKUP($N26, ALLCAMPERS!$A$11:$A$311, ALLCAMPERS!H$11:H$311) = 0, "", LOOKUP($N26, ALLCAMPERS!$A$11:$A$311, ALLCAMPERS!H$11:H$311))</f>
        <v>7</v>
      </c>
      <c r="V26" s="4">
        <f>IF(LOOKUP($N26, ALLCAMPERS!$A$11:$A$311, ALLCAMPERS!I$11:I$311) = 0, "", LOOKUP($N26, ALLCAMPERS!$A$11:$A$311, ALLCAMPERS!I$11:I$311))</f>
        <v>1</v>
      </c>
      <c r="W26" s="4">
        <f>IF(LOOKUP($N26, ALLCAMPERS!$A$11:$A$311, ALLCAMPERS!J$11:J$311) = 0, "", LOOKUP($N26, ALLCAMPERS!$A$11:$A$311, ALLCAMPERS!J$11:J$311))</f>
        <v>1</v>
      </c>
      <c r="X26" s="4" t="str">
        <f>IF(LOOKUP($N26, ALLCAMPERS!$A$11:$A$311, ALLCAMPERS!K$11:K$311) = 0, "", LOOKUP($N26, ALLCAMPERS!$A$11:$A$311, ALLCAMPERS!K$11:K$311))</f>
        <v/>
      </c>
      <c r="Y26" s="4" t="str">
        <f>IF(LOOKUP($N26, ALLCAMPERS!$A$11:$A$311, ALLCAMPERS!L$11:L$311) = 0, "", LOOKUP($N26, ALLCAMPERS!$A$11:$A$311, ALLCAMPERS!L$11:L$311))</f>
        <v/>
      </c>
    </row>
    <row r="27" spans="1:25" x14ac:dyDescent="0.3">
      <c r="A27" s="4">
        <f t="shared" si="4"/>
        <v>208</v>
      </c>
      <c r="B27" s="4">
        <f>IF(LOOKUP($A27, ALLCAMPERS!$A$11:$A$311, ALLCAMPERS!B$11:B$311) = 0, "", LOOKUP($A27, ALLCAMPERS!$A$11:$A$311, ALLCAMPERS!B$11:B$311))</f>
        <v>2</v>
      </c>
      <c r="C27" s="4">
        <f>IF(LOOKUP($A27, ALLCAMPERS!$A$11:$A$311, ALLCAMPERS!C$11:C$311) = 0, "", LOOKUP($A27, ALLCAMPERS!$A$11:$A$311, ALLCAMPERS!C$11:C$311))</f>
        <v>8</v>
      </c>
      <c r="D27" s="4" t="str">
        <f>IF(LOOKUP($A27, ALLCAMPERS!$A$11:$A$311, ALLCAMPERS!D$11:D$311) = 0, "", LOOKUP($A27, ALLCAMPERS!$A$11:$A$311, ALLCAMPERS!D$11:D$311))</f>
        <v>Elaina</v>
      </c>
      <c r="E27" s="4" t="str">
        <f>IF(LOOKUP($A27, ALLCAMPERS!$A$11:$A$311, ALLCAMPERS!E$11:E$311) = 0, "", LOOKUP($A27, ALLCAMPERS!$A$11:$A$311, ALLCAMPERS!E$11:E$311))</f>
        <v>EL-AMIR</v>
      </c>
      <c r="F27" s="4" t="str">
        <f>IF(LOOKUP($A27, ALLCAMPERS!$A$11:$A$311, ALLCAMPERS!F$11:F$311) = 0, "", LOOKUP($A27, ALLCAMPERS!$A$11:$A$311, ALLCAMPERS!F$11:F$311))</f>
        <v/>
      </c>
      <c r="G27" s="4">
        <f>IF(LOOKUP($A27, ALLCAMPERS!$A$11:$A$311, ALLCAMPERS!G$11:G$311) = 0, "", LOOKUP($A27, ALLCAMPERS!$A$11:$A$311, ALLCAMPERS!G$11:G$311))</f>
        <v>7</v>
      </c>
      <c r="H27" s="4">
        <f>IF(LOOKUP($A27, ALLCAMPERS!$A$11:$A$311, ALLCAMPERS!H$11:H$311) = 0, "", LOOKUP($A27, ALLCAMPERS!$A$11:$A$311, ALLCAMPERS!H$11:H$311))</f>
        <v>7</v>
      </c>
      <c r="I27" s="4">
        <f>IF(LOOKUP($A27, ALLCAMPERS!$A$11:$A$311, ALLCAMPERS!I$11:I$311) = 0, "", LOOKUP($A27, ALLCAMPERS!$A$11:$A$311, ALLCAMPERS!I$11:I$311))</f>
        <v>7</v>
      </c>
      <c r="J27" s="4">
        <f>IF(LOOKUP($A27, ALLCAMPERS!$A$11:$A$311, ALLCAMPERS!J$11:J$311) = 0, "", LOOKUP($A27, ALLCAMPERS!$A$11:$A$311, ALLCAMPERS!J$11:J$311))</f>
        <v>3</v>
      </c>
      <c r="K27" s="4" t="str">
        <f>IF(LOOKUP($A27, ALLCAMPERS!$A$11:$A$311, ALLCAMPERS!K$11:K$311) = 0, "", LOOKUP($A27, ALLCAMPERS!$A$11:$A$311, ALLCAMPERS!K$11:K$311))</f>
        <v/>
      </c>
      <c r="L27" s="4" t="str">
        <f>IF(LOOKUP($A27, ALLCAMPERS!$A$11:$A$311, ALLCAMPERS!L$11:L$311) = 0, "", LOOKUP($A27, ALLCAMPERS!$A$11:$A$311, ALLCAMPERS!L$11:L$311))</f>
        <v/>
      </c>
      <c r="N27" s="4">
        <f t="shared" si="3"/>
        <v>1208</v>
      </c>
      <c r="O27" s="4">
        <f>LOOKUP(N27, ALLCAMPERS!$A$11:$A$311, ALLCAMPERS!$B$11:$B$311)</f>
        <v>12</v>
      </c>
      <c r="P27" s="4">
        <f>LOOKUP(N27, ALLCAMPERS!$A$11:$A$311, ALLCAMPERS!$C$11:$C$311)</f>
        <v>8</v>
      </c>
      <c r="Q27" s="4" t="str">
        <f>LOOKUP(N27, ALLCAMPERS!$A$11:$A$311, ALLCAMPERS!$D$11:$D$311)</f>
        <v>Jihad</v>
      </c>
      <c r="R27" s="4" t="str">
        <f>LOOKUP(N27, ALLCAMPERS!$A$11:$A$311, ALLCAMPERS!$E$11:$E$311)</f>
        <v>JARADE</v>
      </c>
      <c r="S27" s="4" t="str">
        <f>IF(LOOKUP($N27, ALLCAMPERS!$A$11:$A$311, ALLCAMPERS!F$11:F$311) = 0, "", LOOKUP($N27, ALLCAMPERS!$A$11:$A$311, ALLCAMPERS!F$11:F$311))</f>
        <v/>
      </c>
      <c r="T27" s="4">
        <f>IF(LOOKUP($N27, ALLCAMPERS!$A$11:$A$311, ALLCAMPERS!G$11:G$311) = 0, "", LOOKUP($N27, ALLCAMPERS!$A$11:$A$311, ALLCAMPERS!G$11:G$311))</f>
        <v>6</v>
      </c>
      <c r="U27" s="4">
        <f>IF(LOOKUP($N27, ALLCAMPERS!$A$11:$A$311, ALLCAMPERS!H$11:H$311) = 0, "", LOOKUP($N27, ALLCAMPERS!$A$11:$A$311, ALLCAMPERS!H$11:H$311))</f>
        <v>7</v>
      </c>
      <c r="V27" s="4">
        <f>IF(LOOKUP($N27, ALLCAMPERS!$A$11:$A$311, ALLCAMPERS!I$11:I$311) = 0, "", LOOKUP($N27, ALLCAMPERS!$A$11:$A$311, ALLCAMPERS!I$11:I$311))</f>
        <v>5</v>
      </c>
      <c r="W27" s="4">
        <f>IF(LOOKUP($N27, ALLCAMPERS!$A$11:$A$311, ALLCAMPERS!J$11:J$311) = 0, "", LOOKUP($N27, ALLCAMPERS!$A$11:$A$311, ALLCAMPERS!J$11:J$311))</f>
        <v>4</v>
      </c>
      <c r="X27" s="4" t="str">
        <f>IF(LOOKUP($N27, ALLCAMPERS!$A$11:$A$311, ALLCAMPERS!K$11:K$311) = 0, "", LOOKUP($N27, ALLCAMPERS!$A$11:$A$311, ALLCAMPERS!K$11:K$311))</f>
        <v/>
      </c>
      <c r="Y27" s="4" t="str">
        <f>IF(LOOKUP($N27, ALLCAMPERS!$A$11:$A$311, ALLCAMPERS!L$11:L$311) = 0, "", LOOKUP($N27, ALLCAMPERS!$A$11:$A$311, ALLCAMPERS!L$11:L$311))</f>
        <v/>
      </c>
    </row>
    <row r="28" spans="1:25" x14ac:dyDescent="0.3">
      <c r="N28" s="4">
        <f t="shared" ref="N28:N30" si="5">N27+1</f>
        <v>1209</v>
      </c>
      <c r="O28" s="4">
        <f>LOOKUP(N28, ALLCAMPERS!$A$11:$A$311, ALLCAMPERS!$B$11:$B$311)</f>
        <v>12</v>
      </c>
      <c r="P28" s="4">
        <f>LOOKUP(N28, ALLCAMPERS!$A$11:$A$311, ALLCAMPERS!$C$11:$C$311)</f>
        <v>9</v>
      </c>
      <c r="Q28" s="4" t="str">
        <f>LOOKUP(N28, ALLCAMPERS!$A$11:$A$311, ALLCAMPERS!$D$11:$D$311)</f>
        <v>Edmond</v>
      </c>
      <c r="R28" s="4" t="str">
        <f>LOOKUP(N28, ALLCAMPERS!$A$11:$A$311, ALLCAMPERS!$E$11:$E$311)</f>
        <v>ABBOUD</v>
      </c>
      <c r="S28" s="4" t="str">
        <f>IF(LOOKUP($N28, ALLCAMPERS!$A$11:$A$311, ALLCAMPERS!F$11:F$311) = 0, "", LOOKUP($N28, ALLCAMPERS!$A$11:$A$311, ALLCAMPERS!F$11:F$311))</f>
        <v/>
      </c>
      <c r="T28" s="4">
        <f>IF(LOOKUP($N28, ALLCAMPERS!$A$11:$A$311, ALLCAMPERS!G$11:G$311) = 0, "", LOOKUP($N28, ALLCAMPERS!$A$11:$A$311, ALLCAMPERS!G$11:G$311))</f>
        <v>3</v>
      </c>
      <c r="U28" s="4">
        <f>IF(LOOKUP($N28, ALLCAMPERS!$A$11:$A$311, ALLCAMPERS!H$11:H$311) = 0, "", LOOKUP($N28, ALLCAMPERS!$A$11:$A$311, ALLCAMPERS!H$11:H$311))</f>
        <v>4</v>
      </c>
      <c r="V28" s="4">
        <f>IF(LOOKUP($N28, ALLCAMPERS!$A$11:$A$311, ALLCAMPERS!I$11:I$311) = 0, "", LOOKUP($N28, ALLCAMPERS!$A$11:$A$311, ALLCAMPERS!I$11:I$311))</f>
        <v>1</v>
      </c>
      <c r="W28" s="4">
        <f>IF(LOOKUP($N28, ALLCAMPERS!$A$11:$A$311, ALLCAMPERS!J$11:J$311) = 0, "", LOOKUP($N28, ALLCAMPERS!$A$11:$A$311, ALLCAMPERS!J$11:J$311))</f>
        <v>6</v>
      </c>
      <c r="X28" s="4" t="str">
        <f>IF(LOOKUP($N28, ALLCAMPERS!$A$11:$A$311, ALLCAMPERS!K$11:K$311) = 0, "", LOOKUP($N28, ALLCAMPERS!$A$11:$A$311, ALLCAMPERS!K$11:K$311))</f>
        <v/>
      </c>
      <c r="Y28" s="4" t="str">
        <f>IF(LOOKUP($N28, ALLCAMPERS!$A$11:$A$311, ALLCAMPERS!L$11:L$311) = 0, "", LOOKUP($N28, ALLCAMPERS!$A$11:$A$311, ALLCAMPERS!L$11:L$311))</f>
        <v/>
      </c>
    </row>
    <row r="29" spans="1:25" x14ac:dyDescent="0.3">
      <c r="N29" s="4">
        <f t="shared" si="5"/>
        <v>1210</v>
      </c>
      <c r="O29" s="4">
        <f>LOOKUP(N29, ALLCAMPERS!$A$11:$A$311, ALLCAMPERS!$B$11:$B$311)</f>
        <v>12</v>
      </c>
      <c r="P29" s="4">
        <f>LOOKUP(N29, ALLCAMPERS!$A$11:$A$311, ALLCAMPERS!$C$11:$C$311)</f>
        <v>10</v>
      </c>
      <c r="Q29" s="4" t="str">
        <f>LOOKUP(N29, ALLCAMPERS!$A$11:$A$311, ALLCAMPERS!$D$11:$D$311)</f>
        <v>Alexandre</v>
      </c>
      <c r="R29" s="4" t="str">
        <f>LOOKUP(N29, ALLCAMPERS!$A$11:$A$311, ALLCAMPERS!$E$11:$E$311)</f>
        <v>ABOU HAIDAR</v>
      </c>
      <c r="S29" s="4" t="str">
        <f>IF(LOOKUP($N29, ALLCAMPERS!$A$11:$A$311, ALLCAMPERS!F$11:F$311) = 0, "", LOOKUP($N29, ALLCAMPERS!$A$11:$A$311, ALLCAMPERS!F$11:F$311))</f>
        <v/>
      </c>
      <c r="T29" s="4">
        <f>IF(LOOKUP($N29, ALLCAMPERS!$A$11:$A$311, ALLCAMPERS!G$11:G$311) = 0, "", LOOKUP($N29, ALLCAMPERS!$A$11:$A$311, ALLCAMPERS!G$11:G$311))</f>
        <v>6</v>
      </c>
      <c r="U29" s="4">
        <f>IF(LOOKUP($N29, ALLCAMPERS!$A$11:$A$311, ALLCAMPERS!H$11:H$311) = 0, "", LOOKUP($N29, ALLCAMPERS!$A$11:$A$311, ALLCAMPERS!H$11:H$311))</f>
        <v>1</v>
      </c>
      <c r="V29" s="4">
        <f>IF(LOOKUP($N29, ALLCAMPERS!$A$11:$A$311, ALLCAMPERS!I$11:I$311) = 0, "", LOOKUP($N29, ALLCAMPERS!$A$11:$A$311, ALLCAMPERS!I$11:I$311))</f>
        <v>7</v>
      </c>
      <c r="W29" s="4">
        <f>IF(LOOKUP($N29, ALLCAMPERS!$A$11:$A$311, ALLCAMPERS!J$11:J$311) = 0, "", LOOKUP($N29, ALLCAMPERS!$A$11:$A$311, ALLCAMPERS!J$11:J$311))</f>
        <v>7</v>
      </c>
      <c r="X29" s="4" t="str">
        <f>IF(LOOKUP($N29, ALLCAMPERS!$A$11:$A$311, ALLCAMPERS!K$11:K$311) = 0, "", LOOKUP($N29, ALLCAMPERS!$A$11:$A$311, ALLCAMPERS!K$11:K$311))</f>
        <v/>
      </c>
      <c r="Y29" s="4" t="str">
        <f>IF(LOOKUP($N29, ALLCAMPERS!$A$11:$A$311, ALLCAMPERS!L$11:L$311) = 0, "", LOOKUP($N29, ALLCAMPERS!$A$11:$A$311, ALLCAMPERS!L$11:L$311))</f>
        <v/>
      </c>
    </row>
    <row r="30" spans="1:25" x14ac:dyDescent="0.3">
      <c r="N30" s="4">
        <f t="shared" si="5"/>
        <v>1211</v>
      </c>
      <c r="O30" s="4">
        <f>LOOKUP(N30, ALLCAMPERS!$A$11:$A$311, ALLCAMPERS!$B$11:$B$311)</f>
        <v>12</v>
      </c>
      <c r="P30" s="4">
        <f>LOOKUP(N30, ALLCAMPERS!$A$11:$A$311, ALLCAMPERS!$C$11:$C$311)</f>
        <v>11</v>
      </c>
      <c r="Q30" s="4" t="str">
        <f>LOOKUP(N30, ALLCAMPERS!$A$11:$A$311, ALLCAMPERS!$D$11:$D$311)</f>
        <v>Lucas</v>
      </c>
      <c r="R30" s="4" t="str">
        <f>LOOKUP(N30, ALLCAMPERS!$A$11:$A$311, ALLCAMPERS!$E$11:$E$311)</f>
        <v>NOVAK</v>
      </c>
      <c r="S30" s="4" t="str">
        <f>IF(LOOKUP($N30, ALLCAMPERS!$A$11:$A$311, ALLCAMPERS!F$11:F$311) = 0, "", LOOKUP($N30, ALLCAMPERS!$A$11:$A$311, ALLCAMPERS!F$11:F$311))</f>
        <v/>
      </c>
      <c r="T30" s="4">
        <f>IF(LOOKUP($N30, ALLCAMPERS!$A$11:$A$311, ALLCAMPERS!G$11:G$311) = 0, "", LOOKUP($N30, ALLCAMPERS!$A$11:$A$311, ALLCAMPERS!G$11:G$311))</f>
        <v>3</v>
      </c>
      <c r="U30" s="4">
        <f>IF(LOOKUP($N30, ALLCAMPERS!$A$11:$A$311, ALLCAMPERS!H$11:H$311) = 0, "", LOOKUP($N30, ALLCAMPERS!$A$11:$A$311, ALLCAMPERS!H$11:H$311))</f>
        <v>3</v>
      </c>
      <c r="V30" s="4">
        <f>IF(LOOKUP($N30, ALLCAMPERS!$A$11:$A$311, ALLCAMPERS!I$11:I$311) = 0, "", LOOKUP($N30, ALLCAMPERS!$A$11:$A$311, ALLCAMPERS!I$11:I$311))</f>
        <v>5</v>
      </c>
      <c r="W30" s="4">
        <f>IF(LOOKUP($N30, ALLCAMPERS!$A$11:$A$311, ALLCAMPERS!J$11:J$311) = 0, "", LOOKUP($N30, ALLCAMPERS!$A$11:$A$311, ALLCAMPERS!J$11:J$311))</f>
        <v>1</v>
      </c>
      <c r="X30" s="4" t="str">
        <f>IF(LOOKUP($N30, ALLCAMPERS!$A$11:$A$311, ALLCAMPERS!K$11:K$311) = 0, "", LOOKUP($N30, ALLCAMPERS!$A$11:$A$311, ALLCAMPERS!K$11:K$311))</f>
        <v/>
      </c>
      <c r="Y30" s="4" t="str">
        <f>IF(LOOKUP($N30, ALLCAMPERS!$A$11:$A$311, ALLCAMPERS!L$11:L$311) = 0, "", LOOKUP($N30, ALLCAMPERS!$A$11:$A$311, ALLCAMPERS!L$11:L$311))</f>
        <v/>
      </c>
    </row>
    <row r="36" spans="1:25" s="3" customFormat="1" ht="28.8" x14ac:dyDescent="0.3">
      <c r="A36" s="16" t="s">
        <v>0</v>
      </c>
      <c r="B36" s="16" t="s">
        <v>1</v>
      </c>
      <c r="C36" s="16" t="s">
        <v>76</v>
      </c>
      <c r="D36" s="16" t="s">
        <v>2</v>
      </c>
      <c r="E36" s="16" t="s">
        <v>3</v>
      </c>
      <c r="F36" s="16" t="s">
        <v>16</v>
      </c>
      <c r="G36" s="16" t="s">
        <v>311</v>
      </c>
      <c r="H36" s="16" t="s">
        <v>312</v>
      </c>
      <c r="I36" s="16" t="s">
        <v>313</v>
      </c>
      <c r="J36" s="16" t="s">
        <v>314</v>
      </c>
      <c r="K36" s="16" t="s">
        <v>87</v>
      </c>
      <c r="L36" s="16" t="s">
        <v>88</v>
      </c>
      <c r="M36" s="16"/>
      <c r="N36" s="16" t="s">
        <v>0</v>
      </c>
      <c r="O36" s="16" t="s">
        <v>1</v>
      </c>
      <c r="P36" s="16" t="s">
        <v>76</v>
      </c>
      <c r="Q36" s="16" t="s">
        <v>2</v>
      </c>
      <c r="R36" s="16" t="s">
        <v>3</v>
      </c>
      <c r="S36" s="16" t="s">
        <v>16</v>
      </c>
      <c r="T36" s="16" t="s">
        <v>311</v>
      </c>
      <c r="U36" s="16" t="s">
        <v>312</v>
      </c>
      <c r="V36" s="16" t="s">
        <v>313</v>
      </c>
      <c r="W36" s="16" t="s">
        <v>314</v>
      </c>
      <c r="X36" s="16" t="s">
        <v>87</v>
      </c>
      <c r="Y36" s="16" t="s">
        <v>88</v>
      </c>
    </row>
    <row r="37" spans="1:25" x14ac:dyDescent="0.3">
      <c r="A37" s="4">
        <v>301</v>
      </c>
      <c r="B37" s="4">
        <f>LOOKUP(A37, ALLCAMPERS!$A$11:$A$311, ALLCAMPERS!$B$11:$B$311)</f>
        <v>3</v>
      </c>
      <c r="C37" s="4">
        <f>LOOKUP(A37, ALLCAMPERS!$A$11:$A$311, ALLCAMPERS!$C$11:$C$311)</f>
        <v>1</v>
      </c>
      <c r="D37" s="4" t="str">
        <f>LOOKUP(A37, ALLCAMPERS!$A$11:$A$311, ALLCAMPERS!$D$11:$D$311)</f>
        <v>Lara</v>
      </c>
      <c r="E37" s="4" t="str">
        <f>LOOKUP(A37, ALLCAMPERS!$A$11:$A$311, ALLCAMPERS!$E$11:$E$311)</f>
        <v>SALLOUM</v>
      </c>
      <c r="F37" s="4" t="str">
        <f>IF(LOOKUP($A37, ALLCAMPERS!$A$11:$A$311, ALLCAMPERS!F$11:F$311) = 0, "", LOOKUP($A37, ALLCAMPERS!$A$11:$A$311, ALLCAMPERS!F$11:F$311))</f>
        <v/>
      </c>
      <c r="G37" s="4">
        <f>IF(LOOKUP($A37, ALLCAMPERS!$A$11:$A$311, ALLCAMPERS!G$11:G$311) = 0, "", LOOKUP($A37, ALLCAMPERS!$A$11:$A$311, ALLCAMPERS!G$11:G$311))</f>
        <v>4</v>
      </c>
      <c r="H37" s="4">
        <f>IF(LOOKUP($A37, ALLCAMPERS!$A$11:$A$311, ALLCAMPERS!H$11:H$311) = 0, "", LOOKUP($A37, ALLCAMPERS!$A$11:$A$311, ALLCAMPERS!H$11:H$311))</f>
        <v>1</v>
      </c>
      <c r="I37" s="4">
        <f>IF(LOOKUP($A37, ALLCAMPERS!$A$11:$A$311, ALLCAMPERS!I$11:I$311) = 0, "", LOOKUP($A37, ALLCAMPERS!$A$11:$A$311, ALLCAMPERS!I$11:I$311))</f>
        <v>1</v>
      </c>
      <c r="J37" s="4">
        <f>IF(LOOKUP($A37, ALLCAMPERS!$A$11:$A$311, ALLCAMPERS!J$11:J$311) = 0, "", LOOKUP($A37, ALLCAMPERS!$A$11:$A$311, ALLCAMPERS!J$11:J$311))</f>
        <v>5</v>
      </c>
      <c r="K37" s="4" t="str">
        <f>IF(LOOKUP($A37, ALLCAMPERS!$A$11:$A$311, ALLCAMPERS!K$11:K$311) = 0, "", LOOKUP($A37, ALLCAMPERS!$A$11:$A$311, ALLCAMPERS!K$11:K$311))</f>
        <v/>
      </c>
      <c r="L37" s="4" t="str">
        <f>IF(LOOKUP($A37, ALLCAMPERS!$A$11:$A$311, ALLCAMPERS!L$11:L$311) = 0, "", LOOKUP($A37, ALLCAMPERS!$A$11:$A$311, ALLCAMPERS!L$11:L$311))</f>
        <v/>
      </c>
      <c r="N37" s="4">
        <f>A37+1000</f>
        <v>1301</v>
      </c>
      <c r="O37" s="4">
        <f>LOOKUP(N37, ALLCAMPERS!$A$11:$A$311, ALLCAMPERS!$B$11:$B$311)</f>
        <v>13</v>
      </c>
      <c r="P37" s="4">
        <f>LOOKUP(N37, ALLCAMPERS!$A$11:$A$311, ALLCAMPERS!$C$11:$C$311)</f>
        <v>1</v>
      </c>
      <c r="Q37" s="4" t="str">
        <f>LOOKUP(N37, ALLCAMPERS!$A$11:$A$311, ALLCAMPERS!$D$11:$D$311)</f>
        <v>Makar</v>
      </c>
      <c r="R37" s="4" t="str">
        <f>LOOKUP(N37, ALLCAMPERS!$A$11:$A$311, ALLCAMPERS!$E$11:$E$311)</f>
        <v>YASSA</v>
      </c>
      <c r="S37" s="4" t="str">
        <f>IF(LOOKUP($N37, ALLCAMPERS!$A$11:$A$311, ALLCAMPERS!F$11:F$311) = 0, "", LOOKUP($N37, ALLCAMPERS!$A$11:$A$311, ALLCAMPERS!F$11:F$311))</f>
        <v/>
      </c>
      <c r="T37" s="4">
        <f>IF(LOOKUP($N37, ALLCAMPERS!$A$11:$A$311, ALLCAMPERS!G$11:G$311) = 0, "", LOOKUP($N37, ALLCAMPERS!$A$11:$A$311, ALLCAMPERS!G$11:G$311))</f>
        <v>4</v>
      </c>
      <c r="U37" s="4">
        <f>IF(LOOKUP($N37, ALLCAMPERS!$A$11:$A$311, ALLCAMPERS!H$11:H$311) = 0, "", LOOKUP($N37, ALLCAMPERS!$A$11:$A$311, ALLCAMPERS!H$11:H$311))</f>
        <v>4</v>
      </c>
      <c r="V37" s="4">
        <f>IF(LOOKUP($N37, ALLCAMPERS!$A$11:$A$311, ALLCAMPERS!I$11:I$311) = 0, "", LOOKUP($N37, ALLCAMPERS!$A$11:$A$311, ALLCAMPERS!I$11:I$311))</f>
        <v>1</v>
      </c>
      <c r="W37" s="4">
        <f>IF(LOOKUP($N37, ALLCAMPERS!$A$11:$A$311, ALLCAMPERS!J$11:J$311) = 0, "", LOOKUP($N37, ALLCAMPERS!$A$11:$A$311, ALLCAMPERS!J$11:J$311))</f>
        <v>7</v>
      </c>
      <c r="X37" s="4" t="str">
        <f>IF(LOOKUP($N37, ALLCAMPERS!$A$11:$A$311, ALLCAMPERS!K$11:K$311) = 0, "", LOOKUP($N37, ALLCAMPERS!$A$11:$A$311, ALLCAMPERS!K$11:K$311))</f>
        <v/>
      </c>
      <c r="Y37" s="4" t="str">
        <f>IF(LOOKUP($N37, ALLCAMPERS!$A$11:$A$311, ALLCAMPERS!L$11:L$311) = 0, "", LOOKUP($N37, ALLCAMPERS!$A$11:$A$311, ALLCAMPERS!L$11:L$311))</f>
        <v/>
      </c>
    </row>
    <row r="38" spans="1:25" x14ac:dyDescent="0.3">
      <c r="A38" s="4">
        <f>A37+1</f>
        <v>302</v>
      </c>
      <c r="B38" s="4">
        <f>LOOKUP(A38, ALLCAMPERS!$A$11:$A$311, ALLCAMPERS!$B$11:$B$311)</f>
        <v>3</v>
      </c>
      <c r="C38" s="4">
        <f>LOOKUP(A38, ALLCAMPERS!$A$11:$A$311, ALLCAMPERS!$C$11:$C$311)</f>
        <v>2</v>
      </c>
      <c r="D38" s="4" t="str">
        <f>LOOKUP(A38, ALLCAMPERS!$A$11:$A$311, ALLCAMPERS!$D$11:$D$311)</f>
        <v>Carla</v>
      </c>
      <c r="E38" s="4" t="str">
        <f>LOOKUP(A38, ALLCAMPERS!$A$11:$A$311, ALLCAMPERS!$E$11:$E$311)</f>
        <v>ESNI</v>
      </c>
      <c r="F38" s="4" t="str">
        <f>IF(LOOKUP($A38, ALLCAMPERS!$A$11:$A$311, ALLCAMPERS!F$11:F$311) = 0, "", LOOKUP($A38, ALLCAMPERS!$A$11:$A$311, ALLCAMPERS!F$11:F$311))</f>
        <v/>
      </c>
      <c r="G38" s="4">
        <f>IF(LOOKUP($A38, ALLCAMPERS!$A$11:$A$311, ALLCAMPERS!G$11:G$311) = 0, "", LOOKUP($A38, ALLCAMPERS!$A$11:$A$311, ALLCAMPERS!G$11:G$311))</f>
        <v>2</v>
      </c>
      <c r="H38" s="4">
        <f>IF(LOOKUP($A38, ALLCAMPERS!$A$11:$A$311, ALLCAMPERS!H$11:H$311) = 0, "", LOOKUP($A38, ALLCAMPERS!$A$11:$A$311, ALLCAMPERS!H$11:H$311))</f>
        <v>7</v>
      </c>
      <c r="I38" s="4">
        <f>IF(LOOKUP($A38, ALLCAMPERS!$A$11:$A$311, ALLCAMPERS!I$11:I$311) = 0, "", LOOKUP($A38, ALLCAMPERS!$A$11:$A$311, ALLCAMPERS!I$11:I$311))</f>
        <v>2</v>
      </c>
      <c r="J38" s="4">
        <f>IF(LOOKUP($A38, ALLCAMPERS!$A$11:$A$311, ALLCAMPERS!J$11:J$311) = 0, "", LOOKUP($A38, ALLCAMPERS!$A$11:$A$311, ALLCAMPERS!J$11:J$311))</f>
        <v>1</v>
      </c>
      <c r="K38" s="4" t="str">
        <f>IF(LOOKUP($A38, ALLCAMPERS!$A$11:$A$311, ALLCAMPERS!K$11:K$311) = 0, "", LOOKUP($A38, ALLCAMPERS!$A$11:$A$311, ALLCAMPERS!K$11:K$311))</f>
        <v/>
      </c>
      <c r="L38" s="4" t="str">
        <f>IF(LOOKUP($A38, ALLCAMPERS!$A$11:$A$311, ALLCAMPERS!L$11:L$311) = 0, "", LOOKUP($A38, ALLCAMPERS!$A$11:$A$311, ALLCAMPERS!L$11:L$311))</f>
        <v/>
      </c>
      <c r="N38" s="4">
        <f>N37+1</f>
        <v>1302</v>
      </c>
      <c r="O38" s="4">
        <f>LOOKUP(N38, ALLCAMPERS!$A$11:$A$311, ALLCAMPERS!$B$11:$B$311)</f>
        <v>13</v>
      </c>
      <c r="P38" s="4">
        <f>LOOKUP(N38, ALLCAMPERS!$A$11:$A$311, ALLCAMPERS!$C$11:$C$311)</f>
        <v>2</v>
      </c>
      <c r="Q38" s="4" t="str">
        <f>LOOKUP(N38, ALLCAMPERS!$A$11:$A$311, ALLCAMPERS!$D$11:$D$311)</f>
        <v>Ibrahim</v>
      </c>
      <c r="R38" s="4" t="str">
        <f>LOOKUP(N38, ALLCAMPERS!$A$11:$A$311, ALLCAMPERS!$E$11:$E$311)</f>
        <v>AWAD</v>
      </c>
      <c r="S38" s="4" t="str">
        <f>IF(LOOKUP($N38, ALLCAMPERS!$A$11:$A$311, ALLCAMPERS!F$11:F$311) = 0, "", LOOKUP($N38, ALLCAMPERS!$A$11:$A$311, ALLCAMPERS!F$11:F$311))</f>
        <v/>
      </c>
      <c r="T38" s="4">
        <f>IF(LOOKUP($N38, ALLCAMPERS!$A$11:$A$311, ALLCAMPERS!G$11:G$311) = 0, "", LOOKUP($N38, ALLCAMPERS!$A$11:$A$311, ALLCAMPERS!G$11:G$311))</f>
        <v>6</v>
      </c>
      <c r="U38" s="4">
        <f>IF(LOOKUP($N38, ALLCAMPERS!$A$11:$A$311, ALLCAMPERS!H$11:H$311) = 0, "", LOOKUP($N38, ALLCAMPERS!$A$11:$A$311, ALLCAMPERS!H$11:H$311))</f>
        <v>6</v>
      </c>
      <c r="V38" s="4">
        <f>IF(LOOKUP($N38, ALLCAMPERS!$A$11:$A$311, ALLCAMPERS!I$11:I$311) = 0, "", LOOKUP($N38, ALLCAMPERS!$A$11:$A$311, ALLCAMPERS!I$11:I$311))</f>
        <v>6</v>
      </c>
      <c r="W38" s="4">
        <f>IF(LOOKUP($N38, ALLCAMPERS!$A$11:$A$311, ALLCAMPERS!J$11:J$311) = 0, "", LOOKUP($N38, ALLCAMPERS!$A$11:$A$311, ALLCAMPERS!J$11:J$311))</f>
        <v>7</v>
      </c>
      <c r="X38" s="4" t="str">
        <f>IF(LOOKUP($N38, ALLCAMPERS!$A$11:$A$311, ALLCAMPERS!K$11:K$311) = 0, "", LOOKUP($N38, ALLCAMPERS!$A$11:$A$311, ALLCAMPERS!K$11:K$311))</f>
        <v/>
      </c>
      <c r="Y38" s="4" t="str">
        <f>IF(LOOKUP($N38, ALLCAMPERS!$A$11:$A$311, ALLCAMPERS!L$11:L$311) = 0, "", LOOKUP($N38, ALLCAMPERS!$A$11:$A$311, ALLCAMPERS!L$11:L$311))</f>
        <v/>
      </c>
    </row>
    <row r="39" spans="1:25" x14ac:dyDescent="0.3">
      <c r="A39" s="4">
        <f t="shared" ref="A39:A42" si="6">A38+1</f>
        <v>303</v>
      </c>
      <c r="B39" s="4">
        <f>LOOKUP(A39, ALLCAMPERS!$A$11:$A$311, ALLCAMPERS!$B$11:$B$311)</f>
        <v>3</v>
      </c>
      <c r="C39" s="4">
        <f>LOOKUP(A39, ALLCAMPERS!$A$11:$A$311, ALLCAMPERS!$C$11:$C$311)</f>
        <v>3</v>
      </c>
      <c r="D39" s="4" t="str">
        <f>LOOKUP(A39, ALLCAMPERS!$A$11:$A$311, ALLCAMPERS!$D$11:$D$311)</f>
        <v>Christina</v>
      </c>
      <c r="E39" s="4" t="str">
        <f>LOOKUP(A39, ALLCAMPERS!$A$11:$A$311, ALLCAMPERS!$E$11:$E$311)</f>
        <v>KHOURY</v>
      </c>
      <c r="F39" s="4" t="str">
        <f>IF(LOOKUP($A39, ALLCAMPERS!$A$11:$A$311, ALLCAMPERS!F$11:F$311) = 0, "", LOOKUP($A39, ALLCAMPERS!$A$11:$A$311, ALLCAMPERS!F$11:F$311))</f>
        <v/>
      </c>
      <c r="G39" s="4">
        <f>IF(LOOKUP($A39, ALLCAMPERS!$A$11:$A$311, ALLCAMPERS!G$11:G$311) = 0, "", LOOKUP($A39, ALLCAMPERS!$A$11:$A$311, ALLCAMPERS!G$11:G$311))</f>
        <v>1</v>
      </c>
      <c r="H39" s="4">
        <f>IF(LOOKUP($A39, ALLCAMPERS!$A$11:$A$311, ALLCAMPERS!H$11:H$311) = 0, "", LOOKUP($A39, ALLCAMPERS!$A$11:$A$311, ALLCAMPERS!H$11:H$311))</f>
        <v>5</v>
      </c>
      <c r="I39" s="4">
        <f>IF(LOOKUP($A39, ALLCAMPERS!$A$11:$A$311, ALLCAMPERS!I$11:I$311) = 0, "", LOOKUP($A39, ALLCAMPERS!$A$11:$A$311, ALLCAMPERS!I$11:I$311))</f>
        <v>4</v>
      </c>
      <c r="J39" s="4">
        <f>IF(LOOKUP($A39, ALLCAMPERS!$A$11:$A$311, ALLCAMPERS!J$11:J$311) = 0, "", LOOKUP($A39, ALLCAMPERS!$A$11:$A$311, ALLCAMPERS!J$11:J$311))</f>
        <v>1</v>
      </c>
      <c r="K39" s="4" t="str">
        <f>IF(LOOKUP($A39, ALLCAMPERS!$A$11:$A$311, ALLCAMPERS!K$11:K$311) = 0, "", LOOKUP($A39, ALLCAMPERS!$A$11:$A$311, ALLCAMPERS!K$11:K$311))</f>
        <v/>
      </c>
      <c r="L39" s="4" t="str">
        <f>IF(LOOKUP($A39, ALLCAMPERS!$A$11:$A$311, ALLCAMPERS!L$11:L$311) = 0, "", LOOKUP($A39, ALLCAMPERS!$A$11:$A$311, ALLCAMPERS!L$11:L$311))</f>
        <v/>
      </c>
      <c r="N39" s="4">
        <f t="shared" ref="N39:N46" si="7">N38+1</f>
        <v>1303</v>
      </c>
      <c r="O39" s="4">
        <f>LOOKUP(N39, ALLCAMPERS!$A$11:$A$311, ALLCAMPERS!$B$11:$B$311)</f>
        <v>13</v>
      </c>
      <c r="P39" s="4">
        <f>LOOKUP(N39, ALLCAMPERS!$A$11:$A$311, ALLCAMPERS!$C$11:$C$311)</f>
        <v>3</v>
      </c>
      <c r="Q39" s="4" t="str">
        <f>LOOKUP(N39, ALLCAMPERS!$A$11:$A$311, ALLCAMPERS!$D$11:$D$311)</f>
        <v>Daniel</v>
      </c>
      <c r="R39" s="4" t="str">
        <f>LOOKUP(N39, ALLCAMPERS!$A$11:$A$311, ALLCAMPERS!$E$11:$E$311)</f>
        <v>LTEIF</v>
      </c>
      <c r="S39" s="4" t="str">
        <f>IF(LOOKUP($N39, ALLCAMPERS!$A$11:$A$311, ALLCAMPERS!F$11:F$311) = 0, "", LOOKUP($N39, ALLCAMPERS!$A$11:$A$311, ALLCAMPERS!F$11:F$311))</f>
        <v/>
      </c>
      <c r="T39" s="4">
        <f>IF(LOOKUP($N39, ALLCAMPERS!$A$11:$A$311, ALLCAMPERS!G$11:G$311) = 0, "", LOOKUP($N39, ALLCAMPERS!$A$11:$A$311, ALLCAMPERS!G$11:G$311))</f>
        <v>1</v>
      </c>
      <c r="U39" s="4">
        <f>IF(LOOKUP($N39, ALLCAMPERS!$A$11:$A$311, ALLCAMPERS!H$11:H$311) = 0, "", LOOKUP($N39, ALLCAMPERS!$A$11:$A$311, ALLCAMPERS!H$11:H$311))</f>
        <v>7</v>
      </c>
      <c r="V39" s="4">
        <f>IF(LOOKUP($N39, ALLCAMPERS!$A$11:$A$311, ALLCAMPERS!I$11:I$311) = 0, "", LOOKUP($N39, ALLCAMPERS!$A$11:$A$311, ALLCAMPERS!I$11:I$311))</f>
        <v>6</v>
      </c>
      <c r="W39" s="4">
        <f>IF(LOOKUP($N39, ALLCAMPERS!$A$11:$A$311, ALLCAMPERS!J$11:J$311) = 0, "", LOOKUP($N39, ALLCAMPERS!$A$11:$A$311, ALLCAMPERS!J$11:J$311))</f>
        <v>6</v>
      </c>
      <c r="X39" s="4" t="str">
        <f>IF(LOOKUP($N39, ALLCAMPERS!$A$11:$A$311, ALLCAMPERS!K$11:K$311) = 0, "", LOOKUP($N39, ALLCAMPERS!$A$11:$A$311, ALLCAMPERS!K$11:K$311))</f>
        <v/>
      </c>
      <c r="Y39" s="4" t="str">
        <f>IF(LOOKUP($N39, ALLCAMPERS!$A$11:$A$311, ALLCAMPERS!L$11:L$311) = 0, "", LOOKUP($N39, ALLCAMPERS!$A$11:$A$311, ALLCAMPERS!L$11:L$311))</f>
        <v/>
      </c>
    </row>
    <row r="40" spans="1:25" x14ac:dyDescent="0.3">
      <c r="A40" s="4">
        <f t="shared" si="6"/>
        <v>304</v>
      </c>
      <c r="B40" s="4">
        <f>LOOKUP(A40, ALLCAMPERS!$A$11:$A$311, ALLCAMPERS!$B$11:$B$311)</f>
        <v>3</v>
      </c>
      <c r="C40" s="4">
        <f>LOOKUP(A40, ALLCAMPERS!$A$11:$A$311, ALLCAMPERS!$C$11:$C$311)</f>
        <v>4</v>
      </c>
      <c r="D40" s="4" t="str">
        <f>LOOKUP(A40, ALLCAMPERS!$A$11:$A$311, ALLCAMPERS!$D$11:$D$311)</f>
        <v>Christina</v>
      </c>
      <c r="E40" s="4" t="str">
        <f>LOOKUP(A40, ALLCAMPERS!$A$11:$A$311, ALLCAMPERS!$E$11:$E$311)</f>
        <v>HAIKE</v>
      </c>
      <c r="F40" s="4" t="str">
        <f>IF(LOOKUP($A40, ALLCAMPERS!$A$11:$A$311, ALLCAMPERS!F$11:F$311) = 0, "", LOOKUP($A40, ALLCAMPERS!$A$11:$A$311, ALLCAMPERS!F$11:F$311))</f>
        <v/>
      </c>
      <c r="G40" s="4">
        <f>IF(LOOKUP($A40, ALLCAMPERS!$A$11:$A$311, ALLCAMPERS!G$11:G$311) = 0, "", LOOKUP($A40, ALLCAMPERS!$A$11:$A$311, ALLCAMPERS!G$11:G$311))</f>
        <v>6</v>
      </c>
      <c r="H40" s="4">
        <f>IF(LOOKUP($A40, ALLCAMPERS!$A$11:$A$311, ALLCAMPERS!H$11:H$311) = 0, "", LOOKUP($A40, ALLCAMPERS!$A$11:$A$311, ALLCAMPERS!H$11:H$311))</f>
        <v>5</v>
      </c>
      <c r="I40" s="4">
        <f>IF(LOOKUP($A40, ALLCAMPERS!$A$11:$A$311, ALLCAMPERS!I$11:I$311) = 0, "", LOOKUP($A40, ALLCAMPERS!$A$11:$A$311, ALLCAMPERS!I$11:I$311))</f>
        <v>1</v>
      </c>
      <c r="J40" s="4">
        <f>IF(LOOKUP($A40, ALLCAMPERS!$A$11:$A$311, ALLCAMPERS!J$11:J$311) = 0, "", LOOKUP($A40, ALLCAMPERS!$A$11:$A$311, ALLCAMPERS!J$11:J$311))</f>
        <v>5</v>
      </c>
      <c r="K40" s="4" t="str">
        <f>IF(LOOKUP($A40, ALLCAMPERS!$A$11:$A$311, ALLCAMPERS!K$11:K$311) = 0, "", LOOKUP($A40, ALLCAMPERS!$A$11:$A$311, ALLCAMPERS!K$11:K$311))</f>
        <v/>
      </c>
      <c r="L40" s="4" t="str">
        <f>IF(LOOKUP($A40, ALLCAMPERS!$A$11:$A$311, ALLCAMPERS!L$11:L$311) = 0, "", LOOKUP($A40, ALLCAMPERS!$A$11:$A$311, ALLCAMPERS!L$11:L$311))</f>
        <v/>
      </c>
      <c r="N40" s="4">
        <f t="shared" si="7"/>
        <v>1304</v>
      </c>
      <c r="O40" s="4">
        <f>LOOKUP(N40, ALLCAMPERS!$A$11:$A$311, ALLCAMPERS!$B$11:$B$311)</f>
        <v>13</v>
      </c>
      <c r="P40" s="4">
        <f>LOOKUP(N40, ALLCAMPERS!$A$11:$A$311, ALLCAMPERS!$C$11:$C$311)</f>
        <v>4</v>
      </c>
      <c r="Q40" s="4" t="str">
        <f>LOOKUP(N40, ALLCAMPERS!$A$11:$A$311, ALLCAMPERS!$D$11:$D$311)</f>
        <v>Karim</v>
      </c>
      <c r="R40" s="4" t="str">
        <f>LOOKUP(N40, ALLCAMPERS!$A$11:$A$311, ALLCAMPERS!$E$11:$E$311)</f>
        <v>AWADALLA</v>
      </c>
      <c r="S40" s="4" t="str">
        <f>IF(LOOKUP($N40, ALLCAMPERS!$A$11:$A$311, ALLCAMPERS!F$11:F$311) = 0, "", LOOKUP($N40, ALLCAMPERS!$A$11:$A$311, ALLCAMPERS!F$11:F$311))</f>
        <v/>
      </c>
      <c r="T40" s="4">
        <f>IF(LOOKUP($N40, ALLCAMPERS!$A$11:$A$311, ALLCAMPERS!G$11:G$311) = 0, "", LOOKUP($N40, ALLCAMPERS!$A$11:$A$311, ALLCAMPERS!G$11:G$311))</f>
        <v>1</v>
      </c>
      <c r="U40" s="4">
        <f>IF(LOOKUP($N40, ALLCAMPERS!$A$11:$A$311, ALLCAMPERS!H$11:H$311) = 0, "", LOOKUP($N40, ALLCAMPERS!$A$11:$A$311, ALLCAMPERS!H$11:H$311))</f>
        <v>7</v>
      </c>
      <c r="V40" s="4">
        <f>IF(LOOKUP($N40, ALLCAMPERS!$A$11:$A$311, ALLCAMPERS!I$11:I$311) = 0, "", LOOKUP($N40, ALLCAMPERS!$A$11:$A$311, ALLCAMPERS!I$11:I$311))</f>
        <v>2</v>
      </c>
      <c r="W40" s="4">
        <f>IF(LOOKUP($N40, ALLCAMPERS!$A$11:$A$311, ALLCAMPERS!J$11:J$311) = 0, "", LOOKUP($N40, ALLCAMPERS!$A$11:$A$311, ALLCAMPERS!J$11:J$311))</f>
        <v>5</v>
      </c>
      <c r="X40" s="4" t="str">
        <f>IF(LOOKUP($N40, ALLCAMPERS!$A$11:$A$311, ALLCAMPERS!K$11:K$311) = 0, "", LOOKUP($N40, ALLCAMPERS!$A$11:$A$311, ALLCAMPERS!K$11:K$311))</f>
        <v/>
      </c>
      <c r="Y40" s="4" t="str">
        <f>IF(LOOKUP($N40, ALLCAMPERS!$A$11:$A$311, ALLCAMPERS!L$11:L$311) = 0, "", LOOKUP($N40, ALLCAMPERS!$A$11:$A$311, ALLCAMPERS!L$11:L$311))</f>
        <v/>
      </c>
    </row>
    <row r="41" spans="1:25" x14ac:dyDescent="0.3">
      <c r="A41" s="4">
        <f t="shared" si="6"/>
        <v>305</v>
      </c>
      <c r="B41" s="4">
        <f>LOOKUP(A41, ALLCAMPERS!$A$11:$A$311, ALLCAMPERS!$B$11:$B$311)</f>
        <v>3</v>
      </c>
      <c r="C41" s="4">
        <f>LOOKUP(A41, ALLCAMPERS!$A$11:$A$311, ALLCAMPERS!$C$11:$C$311)</f>
        <v>5</v>
      </c>
      <c r="D41" s="4" t="str">
        <f>LOOKUP(A41, ALLCAMPERS!$A$11:$A$311, ALLCAMPERS!$D$11:$D$311)</f>
        <v>Stephanie</v>
      </c>
      <c r="E41" s="4" t="str">
        <f>LOOKUP(A41, ALLCAMPERS!$A$11:$A$311, ALLCAMPERS!$E$11:$E$311)</f>
        <v>KHOURY</v>
      </c>
      <c r="F41" s="4" t="str">
        <f>IF(LOOKUP($A41, ALLCAMPERS!$A$11:$A$311, ALLCAMPERS!F$11:F$311) = 0, "", LOOKUP($A41, ALLCAMPERS!$A$11:$A$311, ALLCAMPERS!F$11:F$311))</f>
        <v/>
      </c>
      <c r="G41" s="4">
        <f>IF(LOOKUP($A41, ALLCAMPERS!$A$11:$A$311, ALLCAMPERS!G$11:G$311) = 0, "", LOOKUP($A41, ALLCAMPERS!$A$11:$A$311, ALLCAMPERS!G$11:G$311))</f>
        <v>4</v>
      </c>
      <c r="H41" s="4">
        <f>IF(LOOKUP($A41, ALLCAMPERS!$A$11:$A$311, ALLCAMPERS!H$11:H$311) = 0, "", LOOKUP($A41, ALLCAMPERS!$A$11:$A$311, ALLCAMPERS!H$11:H$311))</f>
        <v>6</v>
      </c>
      <c r="I41" s="4">
        <f>IF(LOOKUP($A41, ALLCAMPERS!$A$11:$A$311, ALLCAMPERS!I$11:I$311) = 0, "", LOOKUP($A41, ALLCAMPERS!$A$11:$A$311, ALLCAMPERS!I$11:I$311))</f>
        <v>6</v>
      </c>
      <c r="J41" s="4">
        <f>IF(LOOKUP($A41, ALLCAMPERS!$A$11:$A$311, ALLCAMPERS!J$11:J$311) = 0, "", LOOKUP($A41, ALLCAMPERS!$A$11:$A$311, ALLCAMPERS!J$11:J$311))</f>
        <v>7</v>
      </c>
      <c r="K41" s="4" t="str">
        <f>IF(LOOKUP($A41, ALLCAMPERS!$A$11:$A$311, ALLCAMPERS!K$11:K$311) = 0, "", LOOKUP($A41, ALLCAMPERS!$A$11:$A$311, ALLCAMPERS!K$11:K$311))</f>
        <v/>
      </c>
      <c r="L41" s="4" t="str">
        <f>IF(LOOKUP($A41, ALLCAMPERS!$A$11:$A$311, ALLCAMPERS!L$11:L$311) = 0, "", LOOKUP($A41, ALLCAMPERS!$A$11:$A$311, ALLCAMPERS!L$11:L$311))</f>
        <v/>
      </c>
      <c r="N41" s="4">
        <f t="shared" si="7"/>
        <v>1305</v>
      </c>
      <c r="O41" s="4">
        <f>LOOKUP(N41, ALLCAMPERS!$A$11:$A$311, ALLCAMPERS!$B$11:$B$311)</f>
        <v>13</v>
      </c>
      <c r="P41" s="4">
        <f>LOOKUP(N41, ALLCAMPERS!$A$11:$A$311, ALLCAMPERS!$C$11:$C$311)</f>
        <v>5</v>
      </c>
      <c r="Q41" s="4" t="str">
        <f>LOOKUP(N41, ALLCAMPERS!$A$11:$A$311, ALLCAMPERS!$D$11:$D$311)</f>
        <v>James</v>
      </c>
      <c r="R41" s="4" t="str">
        <f>LOOKUP(N41, ALLCAMPERS!$A$11:$A$311, ALLCAMPERS!$E$11:$E$311)</f>
        <v>LTAIF</v>
      </c>
      <c r="S41" s="4" t="str">
        <f>IF(LOOKUP($N41, ALLCAMPERS!$A$11:$A$311, ALLCAMPERS!F$11:F$311) = 0, "", LOOKUP($N41, ALLCAMPERS!$A$11:$A$311, ALLCAMPERS!F$11:F$311))</f>
        <v/>
      </c>
      <c r="T41" s="4">
        <f>IF(LOOKUP($N41, ALLCAMPERS!$A$11:$A$311, ALLCAMPERS!G$11:G$311) = 0, "", LOOKUP($N41, ALLCAMPERS!$A$11:$A$311, ALLCAMPERS!G$11:G$311))</f>
        <v>7</v>
      </c>
      <c r="U41" s="4">
        <f>IF(LOOKUP($N41, ALLCAMPERS!$A$11:$A$311, ALLCAMPERS!H$11:H$311) = 0, "", LOOKUP($N41, ALLCAMPERS!$A$11:$A$311, ALLCAMPERS!H$11:H$311))</f>
        <v>6</v>
      </c>
      <c r="V41" s="4">
        <f>IF(LOOKUP($N41, ALLCAMPERS!$A$11:$A$311, ALLCAMPERS!I$11:I$311) = 0, "", LOOKUP($N41, ALLCAMPERS!$A$11:$A$311, ALLCAMPERS!I$11:I$311))</f>
        <v>6</v>
      </c>
      <c r="W41" s="4">
        <f>IF(LOOKUP($N41, ALLCAMPERS!$A$11:$A$311, ALLCAMPERS!J$11:J$311) = 0, "", LOOKUP($N41, ALLCAMPERS!$A$11:$A$311, ALLCAMPERS!J$11:J$311))</f>
        <v>7</v>
      </c>
      <c r="X41" s="4" t="str">
        <f>IF(LOOKUP($N41, ALLCAMPERS!$A$11:$A$311, ALLCAMPERS!K$11:K$311) = 0, "", LOOKUP($N41, ALLCAMPERS!$A$11:$A$311, ALLCAMPERS!K$11:K$311))</f>
        <v/>
      </c>
      <c r="Y41" s="4" t="str">
        <f>IF(LOOKUP($N41, ALLCAMPERS!$A$11:$A$311, ALLCAMPERS!L$11:L$311) = 0, "", LOOKUP($N41, ALLCAMPERS!$A$11:$A$311, ALLCAMPERS!L$11:L$311))</f>
        <v/>
      </c>
    </row>
    <row r="42" spans="1:25" x14ac:dyDescent="0.3">
      <c r="A42" s="4">
        <f t="shared" si="6"/>
        <v>306</v>
      </c>
      <c r="B42" s="4">
        <f>LOOKUP(A42, ALLCAMPERS!$A$11:$A$311, ALLCAMPERS!$B$11:$B$311)</f>
        <v>3</v>
      </c>
      <c r="C42" s="4">
        <f>LOOKUP(A42, ALLCAMPERS!$A$11:$A$311, ALLCAMPERS!$C$11:$C$311)</f>
        <v>6</v>
      </c>
      <c r="D42" s="4" t="str">
        <f>LOOKUP(A42, ALLCAMPERS!$A$11:$A$311, ALLCAMPERS!$D$11:$D$311)</f>
        <v>Andrea</v>
      </c>
      <c r="E42" s="4" t="str">
        <f>LOOKUP(A42, ALLCAMPERS!$A$11:$A$311, ALLCAMPERS!$E$11:$E$311)</f>
        <v>GHALI</v>
      </c>
      <c r="F42" s="4" t="str">
        <f>IF(LOOKUP($A42, ALLCAMPERS!$A$11:$A$311, ALLCAMPERS!F$11:F$311) = 0, "", LOOKUP($A42, ALLCAMPERS!$A$11:$A$311, ALLCAMPERS!F$11:F$311))</f>
        <v/>
      </c>
      <c r="G42" s="4">
        <f>IF(LOOKUP($A42, ALLCAMPERS!$A$11:$A$311, ALLCAMPERS!G$11:G$311) = 0, "", LOOKUP($A42, ALLCAMPERS!$A$11:$A$311, ALLCAMPERS!G$11:G$311))</f>
        <v>2</v>
      </c>
      <c r="H42" s="4">
        <f>IF(LOOKUP($A42, ALLCAMPERS!$A$11:$A$311, ALLCAMPERS!H$11:H$311) = 0, "", LOOKUP($A42, ALLCAMPERS!$A$11:$A$311, ALLCAMPERS!H$11:H$311))</f>
        <v>1</v>
      </c>
      <c r="I42" s="4">
        <f>IF(LOOKUP($A42, ALLCAMPERS!$A$11:$A$311, ALLCAMPERS!I$11:I$311) = 0, "", LOOKUP($A42, ALLCAMPERS!$A$11:$A$311, ALLCAMPERS!I$11:I$311))</f>
        <v>6</v>
      </c>
      <c r="J42" s="4">
        <f>IF(LOOKUP($A42, ALLCAMPERS!$A$11:$A$311, ALLCAMPERS!J$11:J$311) = 0, "", LOOKUP($A42, ALLCAMPERS!$A$11:$A$311, ALLCAMPERS!J$11:J$311))</f>
        <v>4</v>
      </c>
      <c r="K42" s="4" t="str">
        <f>IF(LOOKUP($A42, ALLCAMPERS!$A$11:$A$311, ALLCAMPERS!K$11:K$311) = 0, "", LOOKUP($A42, ALLCAMPERS!$A$11:$A$311, ALLCAMPERS!K$11:K$311))</f>
        <v/>
      </c>
      <c r="L42" s="4" t="str">
        <f>IF(LOOKUP($A42, ALLCAMPERS!$A$11:$A$311, ALLCAMPERS!L$11:L$311) = 0, "", LOOKUP($A42, ALLCAMPERS!$A$11:$A$311, ALLCAMPERS!L$11:L$311))</f>
        <v/>
      </c>
      <c r="N42" s="4">
        <f t="shared" si="7"/>
        <v>1306</v>
      </c>
      <c r="O42" s="4">
        <f>LOOKUP(N42, ALLCAMPERS!$A$11:$A$311, ALLCAMPERS!$B$11:$B$311)</f>
        <v>13</v>
      </c>
      <c r="P42" s="4">
        <f>LOOKUP(N42, ALLCAMPERS!$A$11:$A$311, ALLCAMPERS!$C$11:$C$311)</f>
        <v>6</v>
      </c>
      <c r="Q42" s="4" t="str">
        <f>LOOKUP(N42, ALLCAMPERS!$A$11:$A$311, ALLCAMPERS!$D$11:$D$311)</f>
        <v>Youssef</v>
      </c>
      <c r="R42" s="4" t="str">
        <f>LOOKUP(N42, ALLCAMPERS!$A$11:$A$311, ALLCAMPERS!$E$11:$E$311)</f>
        <v>FREIGA</v>
      </c>
      <c r="S42" s="4" t="str">
        <f>IF(LOOKUP($N42, ALLCAMPERS!$A$11:$A$311, ALLCAMPERS!F$11:F$311) = 0, "", LOOKUP($N42, ALLCAMPERS!$A$11:$A$311, ALLCAMPERS!F$11:F$311))</f>
        <v/>
      </c>
      <c r="T42" s="4">
        <f>IF(LOOKUP($N42, ALLCAMPERS!$A$11:$A$311, ALLCAMPERS!G$11:G$311) = 0, "", LOOKUP($N42, ALLCAMPERS!$A$11:$A$311, ALLCAMPERS!G$11:G$311))</f>
        <v>6</v>
      </c>
      <c r="U42" s="4">
        <f>IF(LOOKUP($N42, ALLCAMPERS!$A$11:$A$311, ALLCAMPERS!H$11:H$311) = 0, "", LOOKUP($N42, ALLCAMPERS!$A$11:$A$311, ALLCAMPERS!H$11:H$311))</f>
        <v>4</v>
      </c>
      <c r="V42" s="4">
        <f>IF(LOOKUP($N42, ALLCAMPERS!$A$11:$A$311, ALLCAMPERS!I$11:I$311) = 0, "", LOOKUP($N42, ALLCAMPERS!$A$11:$A$311, ALLCAMPERS!I$11:I$311))</f>
        <v>3</v>
      </c>
      <c r="W42" s="4">
        <f>IF(LOOKUP($N42, ALLCAMPERS!$A$11:$A$311, ALLCAMPERS!J$11:J$311) = 0, "", LOOKUP($N42, ALLCAMPERS!$A$11:$A$311, ALLCAMPERS!J$11:J$311))</f>
        <v>2</v>
      </c>
      <c r="X42" s="4" t="str">
        <f>IF(LOOKUP($N42, ALLCAMPERS!$A$11:$A$311, ALLCAMPERS!K$11:K$311) = 0, "", LOOKUP($N42, ALLCAMPERS!$A$11:$A$311, ALLCAMPERS!K$11:K$311))</f>
        <v/>
      </c>
      <c r="Y42" s="4" t="str">
        <f>IF(LOOKUP($N42, ALLCAMPERS!$A$11:$A$311, ALLCAMPERS!L$11:L$311) = 0, "", LOOKUP($N42, ALLCAMPERS!$A$11:$A$311, ALLCAMPERS!L$11:L$311))</f>
        <v/>
      </c>
    </row>
    <row r="43" spans="1:25" x14ac:dyDescent="0.3">
      <c r="N43" s="4">
        <f t="shared" si="7"/>
        <v>1307</v>
      </c>
      <c r="O43" s="4">
        <f>LOOKUP(N43, ALLCAMPERS!$A$11:$A$311, ALLCAMPERS!$B$11:$B$311)</f>
        <v>13</v>
      </c>
      <c r="P43" s="4">
        <f>LOOKUP(N43, ALLCAMPERS!$A$11:$A$311, ALLCAMPERS!$C$11:$C$311)</f>
        <v>7</v>
      </c>
      <c r="Q43" s="4" t="str">
        <f>LOOKUP(N43, ALLCAMPERS!$A$11:$A$311, ALLCAMPERS!$D$11:$D$311)</f>
        <v>Abdallah</v>
      </c>
      <c r="R43" s="4" t="str">
        <f>LOOKUP(N43, ALLCAMPERS!$A$11:$A$311, ALLCAMPERS!$E$11:$E$311)</f>
        <v>SAWAYA</v>
      </c>
      <c r="S43" s="4" t="str">
        <f>IF(LOOKUP($N43, ALLCAMPERS!$A$11:$A$311, ALLCAMPERS!F$11:F$311) = 0, "", LOOKUP($N43, ALLCAMPERS!$A$11:$A$311, ALLCAMPERS!F$11:F$311))</f>
        <v/>
      </c>
      <c r="T43" s="4">
        <f>IF(LOOKUP($N43, ALLCAMPERS!$A$11:$A$311, ALLCAMPERS!G$11:G$311) = 0, "", LOOKUP($N43, ALLCAMPERS!$A$11:$A$311, ALLCAMPERS!G$11:G$311))</f>
        <v>1</v>
      </c>
      <c r="U43" s="4">
        <f>IF(LOOKUP($N43, ALLCAMPERS!$A$11:$A$311, ALLCAMPERS!H$11:H$311) = 0, "", LOOKUP($N43, ALLCAMPERS!$A$11:$A$311, ALLCAMPERS!H$11:H$311))</f>
        <v>6</v>
      </c>
      <c r="V43" s="4">
        <f>IF(LOOKUP($N43, ALLCAMPERS!$A$11:$A$311, ALLCAMPERS!I$11:I$311) = 0, "", LOOKUP($N43, ALLCAMPERS!$A$11:$A$311, ALLCAMPERS!I$11:I$311))</f>
        <v>6</v>
      </c>
      <c r="W43" s="4">
        <f>IF(LOOKUP($N43, ALLCAMPERS!$A$11:$A$311, ALLCAMPERS!J$11:J$311) = 0, "", LOOKUP($N43, ALLCAMPERS!$A$11:$A$311, ALLCAMPERS!J$11:J$311))</f>
        <v>7</v>
      </c>
      <c r="X43" s="4" t="str">
        <f>IF(LOOKUP($N43, ALLCAMPERS!$A$11:$A$311, ALLCAMPERS!K$11:K$311) = 0, "", LOOKUP($N43, ALLCAMPERS!$A$11:$A$311, ALLCAMPERS!K$11:K$311))</f>
        <v/>
      </c>
      <c r="Y43" s="4" t="str">
        <f>IF(LOOKUP($N43, ALLCAMPERS!$A$11:$A$311, ALLCAMPERS!L$11:L$311) = 0, "", LOOKUP($N43, ALLCAMPERS!$A$11:$A$311, ALLCAMPERS!L$11:L$311))</f>
        <v/>
      </c>
    </row>
    <row r="44" spans="1:25" x14ac:dyDescent="0.3">
      <c r="N44" s="4">
        <f t="shared" si="7"/>
        <v>1308</v>
      </c>
      <c r="O44" s="4">
        <f>LOOKUP(N44, ALLCAMPERS!$A$11:$A$311, ALLCAMPERS!$B$11:$B$311)</f>
        <v>13</v>
      </c>
      <c r="P44" s="4">
        <f>LOOKUP(N44, ALLCAMPERS!$A$11:$A$311, ALLCAMPERS!$C$11:$C$311)</f>
        <v>8</v>
      </c>
      <c r="Q44" s="4" t="str">
        <f>LOOKUP(N44, ALLCAMPERS!$A$11:$A$311, ALLCAMPERS!$D$11:$D$311)</f>
        <v>Meshach</v>
      </c>
      <c r="R44" s="4" t="str">
        <f>LOOKUP(N44, ALLCAMPERS!$A$11:$A$311, ALLCAMPERS!$E$11:$E$311)</f>
        <v>ANDRAWES</v>
      </c>
      <c r="S44" s="4" t="str">
        <f>IF(LOOKUP($N44, ALLCAMPERS!$A$11:$A$311, ALLCAMPERS!F$11:F$311) = 0, "", LOOKUP($N44, ALLCAMPERS!$A$11:$A$311, ALLCAMPERS!F$11:F$311))</f>
        <v/>
      </c>
      <c r="T44" s="4">
        <f>IF(LOOKUP($N44, ALLCAMPERS!$A$11:$A$311, ALLCAMPERS!G$11:G$311) = 0, "", LOOKUP($N44, ALLCAMPERS!$A$11:$A$311, ALLCAMPERS!G$11:G$311))</f>
        <v>5</v>
      </c>
      <c r="U44" s="4">
        <f>IF(LOOKUP($N44, ALLCAMPERS!$A$11:$A$311, ALLCAMPERS!H$11:H$311) = 0, "", LOOKUP($N44, ALLCAMPERS!$A$11:$A$311, ALLCAMPERS!H$11:H$311))</f>
        <v>4</v>
      </c>
      <c r="V44" s="4">
        <f>IF(LOOKUP($N44, ALLCAMPERS!$A$11:$A$311, ALLCAMPERS!I$11:I$311) = 0, "", LOOKUP($N44, ALLCAMPERS!$A$11:$A$311, ALLCAMPERS!I$11:I$311))</f>
        <v>6</v>
      </c>
      <c r="W44" s="4">
        <f>IF(LOOKUP($N44, ALLCAMPERS!$A$11:$A$311, ALLCAMPERS!J$11:J$311) = 0, "", LOOKUP($N44, ALLCAMPERS!$A$11:$A$311, ALLCAMPERS!J$11:J$311))</f>
        <v>3</v>
      </c>
      <c r="X44" s="4" t="str">
        <f>IF(LOOKUP($N44, ALLCAMPERS!$A$11:$A$311, ALLCAMPERS!K$11:K$311) = 0, "", LOOKUP($N44, ALLCAMPERS!$A$11:$A$311, ALLCAMPERS!K$11:K$311))</f>
        <v/>
      </c>
      <c r="Y44" s="4" t="str">
        <f>IF(LOOKUP($N44, ALLCAMPERS!$A$11:$A$311, ALLCAMPERS!L$11:L$311) = 0, "", LOOKUP($N44, ALLCAMPERS!$A$11:$A$311, ALLCAMPERS!L$11:L$311))</f>
        <v/>
      </c>
    </row>
    <row r="45" spans="1:25" x14ac:dyDescent="0.3">
      <c r="N45" s="4">
        <f t="shared" si="7"/>
        <v>1309</v>
      </c>
      <c r="O45" s="4">
        <f>LOOKUP(N45, ALLCAMPERS!$A$11:$A$311, ALLCAMPERS!$B$11:$B$311)</f>
        <v>13</v>
      </c>
      <c r="P45" s="4">
        <f>LOOKUP(N45, ALLCAMPERS!$A$11:$A$311, ALLCAMPERS!$C$11:$C$311)</f>
        <v>9</v>
      </c>
      <c r="Q45" s="4" t="str">
        <f>LOOKUP(N45, ALLCAMPERS!$A$11:$A$311, ALLCAMPERS!$D$11:$D$311)</f>
        <v>George</v>
      </c>
      <c r="R45" s="4" t="str">
        <f>LOOKUP(N45, ALLCAMPERS!$A$11:$A$311, ALLCAMPERS!$E$11:$E$311)</f>
        <v>SALIB</v>
      </c>
      <c r="S45" s="4" t="str">
        <f>IF(LOOKUP($N45, ALLCAMPERS!$A$11:$A$311, ALLCAMPERS!F$11:F$311) = 0, "", LOOKUP($N45, ALLCAMPERS!$A$11:$A$311, ALLCAMPERS!F$11:F$311))</f>
        <v/>
      </c>
      <c r="T45" s="4">
        <f>IF(LOOKUP($N45, ALLCAMPERS!$A$11:$A$311, ALLCAMPERS!G$11:G$311) = 0, "", LOOKUP($N45, ALLCAMPERS!$A$11:$A$311, ALLCAMPERS!G$11:G$311))</f>
        <v>6</v>
      </c>
      <c r="U45" s="4">
        <f>IF(LOOKUP($N45, ALLCAMPERS!$A$11:$A$311, ALLCAMPERS!H$11:H$311) = 0, "", LOOKUP($N45, ALLCAMPERS!$A$11:$A$311, ALLCAMPERS!H$11:H$311))</f>
        <v>3</v>
      </c>
      <c r="V45" s="4">
        <f>IF(LOOKUP($N45, ALLCAMPERS!$A$11:$A$311, ALLCAMPERS!I$11:I$311) = 0, "", LOOKUP($N45, ALLCAMPERS!$A$11:$A$311, ALLCAMPERS!I$11:I$311))</f>
        <v>2</v>
      </c>
      <c r="W45" s="4">
        <f>IF(LOOKUP($N45, ALLCAMPERS!$A$11:$A$311, ALLCAMPERS!J$11:J$311) = 0, "", LOOKUP($N45, ALLCAMPERS!$A$11:$A$311, ALLCAMPERS!J$11:J$311))</f>
        <v>7</v>
      </c>
      <c r="X45" s="4" t="str">
        <f>IF(LOOKUP($N45, ALLCAMPERS!$A$11:$A$311, ALLCAMPERS!K$11:K$311) = 0, "", LOOKUP($N45, ALLCAMPERS!$A$11:$A$311, ALLCAMPERS!K$11:K$311))</f>
        <v/>
      </c>
      <c r="Y45" s="4" t="str">
        <f>IF(LOOKUP($N45, ALLCAMPERS!$A$11:$A$311, ALLCAMPERS!L$11:L$311) = 0, "", LOOKUP($N45, ALLCAMPERS!$A$11:$A$311, ALLCAMPERS!L$11:L$311))</f>
        <v/>
      </c>
    </row>
    <row r="46" spans="1:25" x14ac:dyDescent="0.3">
      <c r="N46" s="4">
        <f t="shared" si="7"/>
        <v>1310</v>
      </c>
      <c r="O46" s="4">
        <f>LOOKUP(N46, ALLCAMPERS!$A$11:$A$311, ALLCAMPERS!$B$11:$B$311)</f>
        <v>13</v>
      </c>
      <c r="P46" s="4">
        <f>LOOKUP(N46, ALLCAMPERS!$A$11:$A$311, ALLCAMPERS!$C$11:$C$311)</f>
        <v>10</v>
      </c>
      <c r="Q46" s="4" t="str">
        <f>LOOKUP(N46, ALLCAMPERS!$A$11:$A$311, ALLCAMPERS!$D$11:$D$311)</f>
        <v>Mark</v>
      </c>
      <c r="R46" s="4" t="str">
        <f>LOOKUP(N46, ALLCAMPERS!$A$11:$A$311, ALLCAMPERS!$E$11:$E$311)</f>
        <v>RAMZY-RIAD</v>
      </c>
      <c r="S46" s="4" t="str">
        <f>IF(LOOKUP($N46, ALLCAMPERS!$A$11:$A$311, ALLCAMPERS!F$11:F$311) = 0, "", LOOKUP($N46, ALLCAMPERS!$A$11:$A$311, ALLCAMPERS!F$11:F$311))</f>
        <v/>
      </c>
      <c r="T46" s="4">
        <f>IF(LOOKUP($N46, ALLCAMPERS!$A$11:$A$311, ALLCAMPERS!G$11:G$311) = 0, "", LOOKUP($N46, ALLCAMPERS!$A$11:$A$311, ALLCAMPERS!G$11:G$311))</f>
        <v>6</v>
      </c>
      <c r="U46" s="4">
        <f>IF(LOOKUP($N46, ALLCAMPERS!$A$11:$A$311, ALLCAMPERS!H$11:H$311) = 0, "", LOOKUP($N46, ALLCAMPERS!$A$11:$A$311, ALLCAMPERS!H$11:H$311))</f>
        <v>4</v>
      </c>
      <c r="V46" s="4">
        <f>IF(LOOKUP($N46, ALLCAMPERS!$A$11:$A$311, ALLCAMPERS!I$11:I$311) = 0, "", LOOKUP($N46, ALLCAMPERS!$A$11:$A$311, ALLCAMPERS!I$11:I$311))</f>
        <v>7</v>
      </c>
      <c r="W46" s="4">
        <f>IF(LOOKUP($N46, ALLCAMPERS!$A$11:$A$311, ALLCAMPERS!J$11:J$311) = 0, "", LOOKUP($N46, ALLCAMPERS!$A$11:$A$311, ALLCAMPERS!J$11:J$311))</f>
        <v>4</v>
      </c>
      <c r="X46" s="4" t="str">
        <f>IF(LOOKUP($N46, ALLCAMPERS!$A$11:$A$311, ALLCAMPERS!K$11:K$311) = 0, "", LOOKUP($N46, ALLCAMPERS!$A$11:$A$311, ALLCAMPERS!K$11:K$311))</f>
        <v/>
      </c>
      <c r="Y46" s="4" t="str">
        <f>IF(LOOKUP($N46, ALLCAMPERS!$A$11:$A$311, ALLCAMPERS!L$11:L$311) = 0, "", LOOKUP($N46, ALLCAMPERS!$A$11:$A$311, ALLCAMPERS!L$11:L$311))</f>
        <v/>
      </c>
    </row>
    <row r="54" spans="1:25" ht="28.8" x14ac:dyDescent="0.3">
      <c r="A54" s="16" t="s">
        <v>0</v>
      </c>
      <c r="B54" s="16" t="s">
        <v>1</v>
      </c>
      <c r="C54" s="16" t="s">
        <v>76</v>
      </c>
      <c r="D54" s="16" t="s">
        <v>2</v>
      </c>
      <c r="E54" s="16" t="s">
        <v>3</v>
      </c>
      <c r="F54" s="16" t="s">
        <v>16</v>
      </c>
      <c r="G54" s="16" t="s">
        <v>311</v>
      </c>
      <c r="H54" s="16" t="s">
        <v>312</v>
      </c>
      <c r="I54" s="16" t="s">
        <v>313</v>
      </c>
      <c r="J54" s="16" t="s">
        <v>314</v>
      </c>
      <c r="K54" s="16" t="s">
        <v>87</v>
      </c>
      <c r="L54" s="16" t="s">
        <v>88</v>
      </c>
      <c r="M54" s="16"/>
      <c r="N54" s="16" t="s">
        <v>0</v>
      </c>
      <c r="O54" s="16" t="s">
        <v>1</v>
      </c>
      <c r="P54" s="16" t="s">
        <v>76</v>
      </c>
      <c r="Q54" s="16" t="s">
        <v>2</v>
      </c>
      <c r="R54" s="16" t="s">
        <v>3</v>
      </c>
      <c r="S54" s="16" t="s">
        <v>16</v>
      </c>
      <c r="T54" s="16" t="s">
        <v>311</v>
      </c>
      <c r="U54" s="16" t="s">
        <v>312</v>
      </c>
      <c r="V54" s="16" t="s">
        <v>313</v>
      </c>
      <c r="W54" s="16" t="s">
        <v>314</v>
      </c>
      <c r="X54" s="16" t="s">
        <v>87</v>
      </c>
      <c r="Y54" s="16" t="s">
        <v>88</v>
      </c>
    </row>
    <row r="55" spans="1:25" x14ac:dyDescent="0.3">
      <c r="A55" s="4">
        <v>401</v>
      </c>
      <c r="B55" s="4">
        <f>LOOKUP(A55, ALLCAMPERS!$A$11:$A$311, ALLCAMPERS!$B$11:$B$311)</f>
        <v>4</v>
      </c>
      <c r="C55" s="4">
        <f>LOOKUP(A55, ALLCAMPERS!$A$11:$A$311, ALLCAMPERS!$C$11:$C$311)</f>
        <v>1</v>
      </c>
      <c r="D55" s="4" t="str">
        <f>LOOKUP(A55, ALLCAMPERS!$A$11:$A$311, ALLCAMPERS!$D$11:$D$311)</f>
        <v>Christine</v>
      </c>
      <c r="E55" s="4" t="str">
        <f>LOOKUP(A55, ALLCAMPERS!$A$11:$A$311, ALLCAMPERS!$E$11:$E$311)</f>
        <v>DABABNEH</v>
      </c>
      <c r="F55" s="4" t="str">
        <f>IF(LOOKUP($A55, ALLCAMPERS!$A$11:$A$311, ALLCAMPERS!F$11:F$311) = 0, "", LOOKUP($A55, ALLCAMPERS!$A$11:$A$311, ALLCAMPERS!F$11:F$311))</f>
        <v/>
      </c>
      <c r="G55" s="4">
        <f>IF(LOOKUP($A55, ALLCAMPERS!$A$11:$A$311, ALLCAMPERS!G$11:G$311) = 0, "", LOOKUP($A55, ALLCAMPERS!$A$11:$A$311, ALLCAMPERS!G$11:G$311))</f>
        <v>4</v>
      </c>
      <c r="H55" s="4">
        <f>IF(LOOKUP($A55, ALLCAMPERS!$A$11:$A$311, ALLCAMPERS!H$11:H$311) = 0, "", LOOKUP($A55, ALLCAMPERS!$A$11:$A$311, ALLCAMPERS!H$11:H$311))</f>
        <v>4</v>
      </c>
      <c r="I55" s="4">
        <f>IF(LOOKUP($A55, ALLCAMPERS!$A$11:$A$311, ALLCAMPERS!I$11:I$311) = 0, "", LOOKUP($A55, ALLCAMPERS!$A$11:$A$311, ALLCAMPERS!I$11:I$311))</f>
        <v>5</v>
      </c>
      <c r="J55" s="4">
        <f>IF(LOOKUP($A55, ALLCAMPERS!$A$11:$A$311, ALLCAMPERS!J$11:J$311) = 0, "", LOOKUP($A55, ALLCAMPERS!$A$11:$A$311, ALLCAMPERS!J$11:J$311))</f>
        <v>1</v>
      </c>
      <c r="K55" s="4" t="str">
        <f>IF(LOOKUP($A55, ALLCAMPERS!$A$11:$A$311, ALLCAMPERS!K$11:K$311) = 0, "", LOOKUP($A55, ALLCAMPERS!$A$11:$A$311, ALLCAMPERS!K$11:K$311))</f>
        <v/>
      </c>
      <c r="L55" s="4" t="str">
        <f>IF(LOOKUP($A55, ALLCAMPERS!$A$11:$A$311, ALLCAMPERS!L$11:L$311) = 0, "", LOOKUP($A55, ALLCAMPERS!$A$11:$A$311, ALLCAMPERS!L$11:L$311))</f>
        <v/>
      </c>
      <c r="N55" s="4">
        <f>A55+1000</f>
        <v>1401</v>
      </c>
      <c r="O55" s="4">
        <f>LOOKUP(N55, ALLCAMPERS!$A$11:$A$311, ALLCAMPERS!$B$11:$B$311)</f>
        <v>14</v>
      </c>
      <c r="P55" s="4">
        <f>LOOKUP(N55, ALLCAMPERS!$A$11:$A$311, ALLCAMPERS!$C$11:$C$311)</f>
        <v>1</v>
      </c>
      <c r="Q55" s="4" t="str">
        <f>LOOKUP(N55, ALLCAMPERS!$A$11:$A$311, ALLCAMPERS!$D$11:$D$311)</f>
        <v>Nicholas</v>
      </c>
      <c r="R55" s="4" t="str">
        <f>LOOKUP(N55, ALLCAMPERS!$A$11:$A$311, ALLCAMPERS!$E$11:$E$311)</f>
        <v>MAATOUK</v>
      </c>
      <c r="S55" s="4" t="str">
        <f>IF(LOOKUP($N55, ALLCAMPERS!$A$11:$A$311, ALLCAMPERS!F$11:F$311) = 0, "", LOOKUP($N55, ALLCAMPERS!$A$11:$A$311, ALLCAMPERS!F$11:F$311))</f>
        <v/>
      </c>
      <c r="T55" s="4">
        <f>IF(LOOKUP($N55, ALLCAMPERS!$A$11:$A$311, ALLCAMPERS!G$11:G$311) = 0, "", LOOKUP($N55, ALLCAMPERS!$A$11:$A$311, ALLCAMPERS!G$11:G$311))</f>
        <v>4</v>
      </c>
      <c r="U55" s="4">
        <f>IF(LOOKUP($N55, ALLCAMPERS!$A$11:$A$311, ALLCAMPERS!H$11:H$311) = 0, "", LOOKUP($N55, ALLCAMPERS!$A$11:$A$311, ALLCAMPERS!H$11:H$311))</f>
        <v>5</v>
      </c>
      <c r="V55" s="4">
        <f>IF(LOOKUP($N55, ALLCAMPERS!$A$11:$A$311, ALLCAMPERS!I$11:I$311) = 0, "", LOOKUP($N55, ALLCAMPERS!$A$11:$A$311, ALLCAMPERS!I$11:I$311))</f>
        <v>6</v>
      </c>
      <c r="W55" s="4">
        <f>IF(LOOKUP($N55, ALLCAMPERS!$A$11:$A$311, ALLCAMPERS!J$11:J$311) = 0, "", LOOKUP($N55, ALLCAMPERS!$A$11:$A$311, ALLCAMPERS!J$11:J$311))</f>
        <v>1</v>
      </c>
      <c r="X55" s="4" t="str">
        <f>IF(LOOKUP($N55, ALLCAMPERS!$A$11:$A$311, ALLCAMPERS!K$11:K$311) = 0, "", LOOKUP($N55, ALLCAMPERS!$A$11:$A$311, ALLCAMPERS!K$11:K$311))</f>
        <v/>
      </c>
      <c r="Y55" s="4" t="str">
        <f>IF(LOOKUP($N55, ALLCAMPERS!$A$11:$A$311, ALLCAMPERS!L$11:L$311) = 0, "", LOOKUP($N55, ALLCAMPERS!$A$11:$A$311, ALLCAMPERS!L$11:L$311))</f>
        <v/>
      </c>
    </row>
    <row r="56" spans="1:25" x14ac:dyDescent="0.3">
      <c r="A56" s="4">
        <f>A55+1</f>
        <v>402</v>
      </c>
      <c r="B56" s="4">
        <f>LOOKUP(A56, ALLCAMPERS!$A$11:$A$311, ALLCAMPERS!$B$11:$B$311)</f>
        <v>4</v>
      </c>
      <c r="C56" s="4">
        <f>LOOKUP(A56, ALLCAMPERS!$A$11:$A$311, ALLCAMPERS!$C$11:$C$311)</f>
        <v>2</v>
      </c>
      <c r="D56" s="4" t="str">
        <f>LOOKUP(A56, ALLCAMPERS!$A$11:$A$311, ALLCAMPERS!$D$11:$D$311)</f>
        <v>Elissia</v>
      </c>
      <c r="E56" s="4" t="str">
        <f>LOOKUP(A56, ALLCAMPERS!$A$11:$A$311, ALLCAMPERS!$E$11:$E$311)</f>
        <v>MAHFOUZ</v>
      </c>
      <c r="F56" s="4" t="str">
        <f>IF(LOOKUP($A56, ALLCAMPERS!$A$11:$A$311, ALLCAMPERS!F$11:F$311) = 0, "", LOOKUP($A56, ALLCAMPERS!$A$11:$A$311, ALLCAMPERS!F$11:F$311))</f>
        <v/>
      </c>
      <c r="G56" s="4">
        <f>IF(LOOKUP($A56, ALLCAMPERS!$A$11:$A$311, ALLCAMPERS!G$11:G$311) = 0, "", LOOKUP($A56, ALLCAMPERS!$A$11:$A$311, ALLCAMPERS!G$11:G$311))</f>
        <v>3</v>
      </c>
      <c r="H56" s="4">
        <f>IF(LOOKUP($A56, ALLCAMPERS!$A$11:$A$311, ALLCAMPERS!H$11:H$311) = 0, "", LOOKUP($A56, ALLCAMPERS!$A$11:$A$311, ALLCAMPERS!H$11:H$311))</f>
        <v>6</v>
      </c>
      <c r="I56" s="4">
        <f>IF(LOOKUP($A56, ALLCAMPERS!$A$11:$A$311, ALLCAMPERS!I$11:I$311) = 0, "", LOOKUP($A56, ALLCAMPERS!$A$11:$A$311, ALLCAMPERS!I$11:I$311))</f>
        <v>4</v>
      </c>
      <c r="J56" s="4">
        <f>IF(LOOKUP($A56, ALLCAMPERS!$A$11:$A$311, ALLCAMPERS!J$11:J$311) = 0, "", LOOKUP($A56, ALLCAMPERS!$A$11:$A$311, ALLCAMPERS!J$11:J$311))</f>
        <v>5</v>
      </c>
      <c r="K56" s="4" t="str">
        <f>IF(LOOKUP($A56, ALLCAMPERS!$A$11:$A$311, ALLCAMPERS!K$11:K$311) = 0, "", LOOKUP($A56, ALLCAMPERS!$A$11:$A$311, ALLCAMPERS!K$11:K$311))</f>
        <v/>
      </c>
      <c r="L56" s="4" t="str">
        <f>IF(LOOKUP($A56, ALLCAMPERS!$A$11:$A$311, ALLCAMPERS!L$11:L$311) = 0, "", LOOKUP($A56, ALLCAMPERS!$A$11:$A$311, ALLCAMPERS!L$11:L$311))</f>
        <v/>
      </c>
      <c r="N56" s="4">
        <f>N55+1</f>
        <v>1402</v>
      </c>
      <c r="O56" s="4">
        <f>LOOKUP(N56, ALLCAMPERS!$A$11:$A$311, ALLCAMPERS!$B$11:$B$311)</f>
        <v>14</v>
      </c>
      <c r="P56" s="4">
        <f>LOOKUP(N56, ALLCAMPERS!$A$11:$A$311, ALLCAMPERS!$C$11:$C$311)</f>
        <v>2</v>
      </c>
      <c r="Q56" s="4" t="str">
        <f>LOOKUP(N56, ALLCAMPERS!$A$11:$A$311, ALLCAMPERS!$D$11:$D$311)</f>
        <v>Marco</v>
      </c>
      <c r="R56" s="4" t="str">
        <f>LOOKUP(N56, ALLCAMPERS!$A$11:$A$311, ALLCAMPERS!$E$11:$E$311)</f>
        <v>DE VITO</v>
      </c>
      <c r="S56" s="4" t="str">
        <f>IF(LOOKUP($N56, ALLCAMPERS!$A$11:$A$311, ALLCAMPERS!F$11:F$311) = 0, "", LOOKUP($N56, ALLCAMPERS!$A$11:$A$311, ALLCAMPERS!F$11:F$311))</f>
        <v/>
      </c>
      <c r="T56" s="4">
        <f>IF(LOOKUP($N56, ALLCAMPERS!$A$11:$A$311, ALLCAMPERS!G$11:G$311) = 0, "", LOOKUP($N56, ALLCAMPERS!$A$11:$A$311, ALLCAMPERS!G$11:G$311))</f>
        <v>2</v>
      </c>
      <c r="U56" s="4">
        <f>IF(LOOKUP($N56, ALLCAMPERS!$A$11:$A$311, ALLCAMPERS!H$11:H$311) = 0, "", LOOKUP($N56, ALLCAMPERS!$A$11:$A$311, ALLCAMPERS!H$11:H$311))</f>
        <v>3</v>
      </c>
      <c r="V56" s="4">
        <f>IF(LOOKUP($N56, ALLCAMPERS!$A$11:$A$311, ALLCAMPERS!I$11:I$311) = 0, "", LOOKUP($N56, ALLCAMPERS!$A$11:$A$311, ALLCAMPERS!I$11:I$311))</f>
        <v>3</v>
      </c>
      <c r="W56" s="4">
        <f>IF(LOOKUP($N56, ALLCAMPERS!$A$11:$A$311, ALLCAMPERS!J$11:J$311) = 0, "", LOOKUP($N56, ALLCAMPERS!$A$11:$A$311, ALLCAMPERS!J$11:J$311))</f>
        <v>4</v>
      </c>
      <c r="X56" s="4" t="str">
        <f>IF(LOOKUP($N56, ALLCAMPERS!$A$11:$A$311, ALLCAMPERS!K$11:K$311) = 0, "", LOOKUP($N56, ALLCAMPERS!$A$11:$A$311, ALLCAMPERS!K$11:K$311))</f>
        <v/>
      </c>
      <c r="Y56" s="4" t="str">
        <f>IF(LOOKUP($N56, ALLCAMPERS!$A$11:$A$311, ALLCAMPERS!L$11:L$311) = 0, "", LOOKUP($N56, ALLCAMPERS!$A$11:$A$311, ALLCAMPERS!L$11:L$311))</f>
        <v/>
      </c>
    </row>
    <row r="57" spans="1:25" x14ac:dyDescent="0.3">
      <c r="A57" s="4">
        <f t="shared" ref="A57:A59" si="8">A56+1</f>
        <v>403</v>
      </c>
      <c r="B57" s="4">
        <f>LOOKUP(A57, ALLCAMPERS!$A$11:$A$311, ALLCAMPERS!$B$11:$B$311)</f>
        <v>4</v>
      </c>
      <c r="C57" s="4">
        <f>LOOKUP(A57, ALLCAMPERS!$A$11:$A$311, ALLCAMPERS!$C$11:$C$311)</f>
        <v>3</v>
      </c>
      <c r="D57" s="4" t="str">
        <f>LOOKUP(A57, ALLCAMPERS!$A$11:$A$311, ALLCAMPERS!$D$11:$D$311)</f>
        <v>Cloe</v>
      </c>
      <c r="E57" s="4" t="str">
        <f>LOOKUP(A57, ALLCAMPERS!$A$11:$A$311, ALLCAMPERS!$E$11:$E$311)</f>
        <v>KAYAL</v>
      </c>
      <c r="F57" s="4" t="str">
        <f>IF(LOOKUP($A57, ALLCAMPERS!$A$11:$A$311, ALLCAMPERS!F$11:F$311) = 0, "", LOOKUP($A57, ALLCAMPERS!$A$11:$A$311, ALLCAMPERS!F$11:F$311))</f>
        <v/>
      </c>
      <c r="G57" s="4">
        <f>IF(LOOKUP($A57, ALLCAMPERS!$A$11:$A$311, ALLCAMPERS!G$11:G$311) = 0, "", LOOKUP($A57, ALLCAMPERS!$A$11:$A$311, ALLCAMPERS!G$11:G$311))</f>
        <v>5</v>
      </c>
      <c r="H57" s="4">
        <f>IF(LOOKUP($A57, ALLCAMPERS!$A$11:$A$311, ALLCAMPERS!H$11:H$311) = 0, "", LOOKUP($A57, ALLCAMPERS!$A$11:$A$311, ALLCAMPERS!H$11:H$311))</f>
        <v>6</v>
      </c>
      <c r="I57" s="4">
        <f>IF(LOOKUP($A57, ALLCAMPERS!$A$11:$A$311, ALLCAMPERS!I$11:I$311) = 0, "", LOOKUP($A57, ALLCAMPERS!$A$11:$A$311, ALLCAMPERS!I$11:I$311))</f>
        <v>5</v>
      </c>
      <c r="J57" s="4">
        <f>IF(LOOKUP($A57, ALLCAMPERS!$A$11:$A$311, ALLCAMPERS!J$11:J$311) = 0, "", LOOKUP($A57, ALLCAMPERS!$A$11:$A$311, ALLCAMPERS!J$11:J$311))</f>
        <v>4</v>
      </c>
      <c r="K57" s="4" t="str">
        <f>IF(LOOKUP($A57, ALLCAMPERS!$A$11:$A$311, ALLCAMPERS!K$11:K$311) = 0, "", LOOKUP($A57, ALLCAMPERS!$A$11:$A$311, ALLCAMPERS!K$11:K$311))</f>
        <v/>
      </c>
      <c r="L57" s="4" t="str">
        <f>IF(LOOKUP($A57, ALLCAMPERS!$A$11:$A$311, ALLCAMPERS!L$11:L$311) = 0, "", LOOKUP($A57, ALLCAMPERS!$A$11:$A$311, ALLCAMPERS!L$11:L$311))</f>
        <v/>
      </c>
      <c r="N57" s="4">
        <f t="shared" ref="N57:N63" si="9">N56+1</f>
        <v>1403</v>
      </c>
      <c r="O57" s="4">
        <f>LOOKUP(N57, ALLCAMPERS!$A$11:$A$311, ALLCAMPERS!$B$11:$B$311)</f>
        <v>14</v>
      </c>
      <c r="P57" s="4">
        <f>LOOKUP(N57, ALLCAMPERS!$A$11:$A$311, ALLCAMPERS!$C$11:$C$311)</f>
        <v>3</v>
      </c>
      <c r="Q57" s="4" t="str">
        <f>LOOKUP(N57, ALLCAMPERS!$A$11:$A$311, ALLCAMPERS!$D$11:$D$311)</f>
        <v>Marc</v>
      </c>
      <c r="R57" s="4" t="str">
        <f>LOOKUP(N57, ALLCAMPERS!$A$11:$A$311, ALLCAMPERS!$E$11:$E$311)</f>
        <v>WAKIM</v>
      </c>
      <c r="S57" s="4" t="str">
        <f>IF(LOOKUP($N57, ALLCAMPERS!$A$11:$A$311, ALLCAMPERS!F$11:F$311) = 0, "", LOOKUP($N57, ALLCAMPERS!$A$11:$A$311, ALLCAMPERS!F$11:F$311))</f>
        <v/>
      </c>
      <c r="T57" s="4">
        <f>IF(LOOKUP($N57, ALLCAMPERS!$A$11:$A$311, ALLCAMPERS!G$11:G$311) = 0, "", LOOKUP($N57, ALLCAMPERS!$A$11:$A$311, ALLCAMPERS!G$11:G$311))</f>
        <v>7</v>
      </c>
      <c r="U57" s="4">
        <f>IF(LOOKUP($N57, ALLCAMPERS!$A$11:$A$311, ALLCAMPERS!H$11:H$311) = 0, "", LOOKUP($N57, ALLCAMPERS!$A$11:$A$311, ALLCAMPERS!H$11:H$311))</f>
        <v>7</v>
      </c>
      <c r="V57" s="4">
        <f>IF(LOOKUP($N57, ALLCAMPERS!$A$11:$A$311, ALLCAMPERS!I$11:I$311) = 0, "", LOOKUP($N57, ALLCAMPERS!$A$11:$A$311, ALLCAMPERS!I$11:I$311))</f>
        <v>3</v>
      </c>
      <c r="W57" s="4">
        <f>IF(LOOKUP($N57, ALLCAMPERS!$A$11:$A$311, ALLCAMPERS!J$11:J$311) = 0, "", LOOKUP($N57, ALLCAMPERS!$A$11:$A$311, ALLCAMPERS!J$11:J$311))</f>
        <v>3</v>
      </c>
      <c r="X57" s="4" t="str">
        <f>IF(LOOKUP($N57, ALLCAMPERS!$A$11:$A$311, ALLCAMPERS!K$11:K$311) = 0, "", LOOKUP($N57, ALLCAMPERS!$A$11:$A$311, ALLCAMPERS!K$11:K$311))</f>
        <v/>
      </c>
      <c r="Y57" s="4" t="str">
        <f>IF(LOOKUP($N57, ALLCAMPERS!$A$11:$A$311, ALLCAMPERS!L$11:L$311) = 0, "", LOOKUP($N57, ALLCAMPERS!$A$11:$A$311, ALLCAMPERS!L$11:L$311))</f>
        <v/>
      </c>
    </row>
    <row r="58" spans="1:25" x14ac:dyDescent="0.3">
      <c r="A58" s="4">
        <f t="shared" si="8"/>
        <v>404</v>
      </c>
      <c r="B58" s="4">
        <f>LOOKUP(A58, ALLCAMPERS!$A$11:$A$311, ALLCAMPERS!$B$11:$B$311)</f>
        <v>4</v>
      </c>
      <c r="C58" s="4">
        <f>LOOKUP(A58, ALLCAMPERS!$A$11:$A$311, ALLCAMPERS!$C$11:$C$311)</f>
        <v>4</v>
      </c>
      <c r="D58" s="4" t="str">
        <f>LOOKUP(A58, ALLCAMPERS!$A$11:$A$311, ALLCAMPERS!$D$11:$D$311)</f>
        <v>Leen</v>
      </c>
      <c r="E58" s="4" t="str">
        <f>LOOKUP(A58, ALLCAMPERS!$A$11:$A$311, ALLCAMPERS!$E$11:$E$311)</f>
        <v>SAWAN</v>
      </c>
      <c r="F58" s="4" t="str">
        <f>IF(LOOKUP($A58, ALLCAMPERS!$A$11:$A$311, ALLCAMPERS!F$11:F$311) = 0, "", LOOKUP($A58, ALLCAMPERS!$A$11:$A$311, ALLCAMPERS!F$11:F$311))</f>
        <v/>
      </c>
      <c r="G58" s="4">
        <f>IF(LOOKUP($A58, ALLCAMPERS!$A$11:$A$311, ALLCAMPERS!G$11:G$311) = 0, "", LOOKUP($A58, ALLCAMPERS!$A$11:$A$311, ALLCAMPERS!G$11:G$311))</f>
        <v>1</v>
      </c>
      <c r="H58" s="4">
        <f>IF(LOOKUP($A58, ALLCAMPERS!$A$11:$A$311, ALLCAMPERS!H$11:H$311) = 0, "", LOOKUP($A58, ALLCAMPERS!$A$11:$A$311, ALLCAMPERS!H$11:H$311))</f>
        <v>3</v>
      </c>
      <c r="I58" s="4">
        <f>IF(LOOKUP($A58, ALLCAMPERS!$A$11:$A$311, ALLCAMPERS!I$11:I$311) = 0, "", LOOKUP($A58, ALLCAMPERS!$A$11:$A$311, ALLCAMPERS!I$11:I$311))</f>
        <v>1</v>
      </c>
      <c r="J58" s="4">
        <f>IF(LOOKUP($A58, ALLCAMPERS!$A$11:$A$311, ALLCAMPERS!J$11:J$311) = 0, "", LOOKUP($A58, ALLCAMPERS!$A$11:$A$311, ALLCAMPERS!J$11:J$311))</f>
        <v>3</v>
      </c>
      <c r="K58" s="4" t="str">
        <f>IF(LOOKUP($A58, ALLCAMPERS!$A$11:$A$311, ALLCAMPERS!K$11:K$311) = 0, "", LOOKUP($A58, ALLCAMPERS!$A$11:$A$311, ALLCAMPERS!K$11:K$311))</f>
        <v/>
      </c>
      <c r="L58" s="4" t="str">
        <f>IF(LOOKUP($A58, ALLCAMPERS!$A$11:$A$311, ALLCAMPERS!L$11:L$311) = 0, "", LOOKUP($A58, ALLCAMPERS!$A$11:$A$311, ALLCAMPERS!L$11:L$311))</f>
        <v/>
      </c>
      <c r="N58" s="4">
        <f t="shared" si="9"/>
        <v>1404</v>
      </c>
      <c r="O58" s="4">
        <f>LOOKUP(N58, ALLCAMPERS!$A$11:$A$311, ALLCAMPERS!$B$11:$B$311)</f>
        <v>14</v>
      </c>
      <c r="P58" s="4">
        <f>LOOKUP(N58, ALLCAMPERS!$A$11:$A$311, ALLCAMPERS!$C$11:$C$311)</f>
        <v>4</v>
      </c>
      <c r="Q58" s="4" t="str">
        <f>LOOKUP(N58, ALLCAMPERS!$A$11:$A$311, ALLCAMPERS!$D$11:$D$311)</f>
        <v>Fouad</v>
      </c>
      <c r="R58" s="4" t="str">
        <f>LOOKUP(N58, ALLCAMPERS!$A$11:$A$311, ALLCAMPERS!$E$11:$E$311)</f>
        <v>ALLAHAM</v>
      </c>
      <c r="S58" s="4" t="str">
        <f>IF(LOOKUP($N58, ALLCAMPERS!$A$11:$A$311, ALLCAMPERS!F$11:F$311) = 0, "", LOOKUP($N58, ALLCAMPERS!$A$11:$A$311, ALLCAMPERS!F$11:F$311))</f>
        <v/>
      </c>
      <c r="T58" s="4">
        <f>IF(LOOKUP($N58, ALLCAMPERS!$A$11:$A$311, ALLCAMPERS!G$11:G$311) = 0, "", LOOKUP($N58, ALLCAMPERS!$A$11:$A$311, ALLCAMPERS!G$11:G$311))</f>
        <v>1</v>
      </c>
      <c r="U58" s="4">
        <f>IF(LOOKUP($N58, ALLCAMPERS!$A$11:$A$311, ALLCAMPERS!H$11:H$311) = 0, "", LOOKUP($N58, ALLCAMPERS!$A$11:$A$311, ALLCAMPERS!H$11:H$311))</f>
        <v>4</v>
      </c>
      <c r="V58" s="4">
        <f>IF(LOOKUP($N58, ALLCAMPERS!$A$11:$A$311, ALLCAMPERS!I$11:I$311) = 0, "", LOOKUP($N58, ALLCAMPERS!$A$11:$A$311, ALLCAMPERS!I$11:I$311))</f>
        <v>7</v>
      </c>
      <c r="W58" s="4">
        <f>IF(LOOKUP($N58, ALLCAMPERS!$A$11:$A$311, ALLCAMPERS!J$11:J$311) = 0, "", LOOKUP($N58, ALLCAMPERS!$A$11:$A$311, ALLCAMPERS!J$11:J$311))</f>
        <v>5</v>
      </c>
      <c r="X58" s="4" t="str">
        <f>IF(LOOKUP($N58, ALLCAMPERS!$A$11:$A$311, ALLCAMPERS!K$11:K$311) = 0, "", LOOKUP($N58, ALLCAMPERS!$A$11:$A$311, ALLCAMPERS!K$11:K$311))</f>
        <v/>
      </c>
      <c r="Y58" s="4" t="str">
        <f>IF(LOOKUP($N58, ALLCAMPERS!$A$11:$A$311, ALLCAMPERS!L$11:L$311) = 0, "", LOOKUP($N58, ALLCAMPERS!$A$11:$A$311, ALLCAMPERS!L$11:L$311))</f>
        <v/>
      </c>
    </row>
    <row r="59" spans="1:25" x14ac:dyDescent="0.3">
      <c r="A59" s="4">
        <f t="shared" si="8"/>
        <v>405</v>
      </c>
      <c r="B59" s="4">
        <f>LOOKUP(A59, ALLCAMPERS!$A$11:$A$311, ALLCAMPERS!$B$11:$B$311)</f>
        <v>4</v>
      </c>
      <c r="C59" s="4">
        <f>LOOKUP(A59, ALLCAMPERS!$A$11:$A$311, ALLCAMPERS!$C$11:$C$311)</f>
        <v>5</v>
      </c>
      <c r="D59" s="4" t="str">
        <f>LOOKUP(A59, ALLCAMPERS!$A$11:$A$311, ALLCAMPERS!$D$11:$D$311)</f>
        <v>Grace</v>
      </c>
      <c r="E59" s="4" t="str">
        <f>LOOKUP(A59, ALLCAMPERS!$A$11:$A$311, ALLCAMPERS!$E$11:$E$311)</f>
        <v>ABBOUD</v>
      </c>
      <c r="F59" s="4" t="str">
        <f>IF(LOOKUP($A59, ALLCAMPERS!$A$11:$A$311, ALLCAMPERS!F$11:F$311) = 0, "", LOOKUP($A59, ALLCAMPERS!$A$11:$A$311, ALLCAMPERS!F$11:F$311))</f>
        <v/>
      </c>
      <c r="G59" s="4">
        <f>IF(LOOKUP($A59, ALLCAMPERS!$A$11:$A$311, ALLCAMPERS!G$11:G$311) = 0, "", LOOKUP($A59, ALLCAMPERS!$A$11:$A$311, ALLCAMPERS!G$11:G$311))</f>
        <v>2</v>
      </c>
      <c r="H59" s="4">
        <f>IF(LOOKUP($A59, ALLCAMPERS!$A$11:$A$311, ALLCAMPERS!H$11:H$311) = 0, "", LOOKUP($A59, ALLCAMPERS!$A$11:$A$311, ALLCAMPERS!H$11:H$311))</f>
        <v>1</v>
      </c>
      <c r="I59" s="4">
        <f>IF(LOOKUP($A59, ALLCAMPERS!$A$11:$A$311, ALLCAMPERS!I$11:I$311) = 0, "", LOOKUP($A59, ALLCAMPERS!$A$11:$A$311, ALLCAMPERS!I$11:I$311))</f>
        <v>7</v>
      </c>
      <c r="J59" s="4">
        <f>IF(LOOKUP($A59, ALLCAMPERS!$A$11:$A$311, ALLCAMPERS!J$11:J$311) = 0, "", LOOKUP($A59, ALLCAMPERS!$A$11:$A$311, ALLCAMPERS!J$11:J$311))</f>
        <v>3</v>
      </c>
      <c r="K59" s="4" t="str">
        <f>IF(LOOKUP($A59, ALLCAMPERS!$A$11:$A$311, ALLCAMPERS!K$11:K$311) = 0, "", LOOKUP($A59, ALLCAMPERS!$A$11:$A$311, ALLCAMPERS!K$11:K$311))</f>
        <v/>
      </c>
      <c r="L59" s="4" t="str">
        <f>IF(LOOKUP($A59, ALLCAMPERS!$A$11:$A$311, ALLCAMPERS!L$11:L$311) = 0, "", LOOKUP($A59, ALLCAMPERS!$A$11:$A$311, ALLCAMPERS!L$11:L$311))</f>
        <v/>
      </c>
      <c r="N59" s="4">
        <f t="shared" si="9"/>
        <v>1405</v>
      </c>
      <c r="O59" s="4">
        <f>LOOKUP(N59, ALLCAMPERS!$A$11:$A$311, ALLCAMPERS!$B$11:$B$311)</f>
        <v>14</v>
      </c>
      <c r="P59" s="4">
        <f>LOOKUP(N59, ALLCAMPERS!$A$11:$A$311, ALLCAMPERS!$C$11:$C$311)</f>
        <v>5</v>
      </c>
      <c r="Q59" s="4" t="str">
        <f>LOOKUP(N59, ALLCAMPERS!$A$11:$A$311, ALLCAMPERS!$D$11:$D$311)</f>
        <v>George</v>
      </c>
      <c r="R59" s="4" t="str">
        <f>LOOKUP(N59, ALLCAMPERS!$A$11:$A$311, ALLCAMPERS!$E$11:$E$311)</f>
        <v>MIKHAEL</v>
      </c>
      <c r="S59" s="4" t="str">
        <f>IF(LOOKUP($N59, ALLCAMPERS!$A$11:$A$311, ALLCAMPERS!F$11:F$311) = 0, "", LOOKUP($N59, ALLCAMPERS!$A$11:$A$311, ALLCAMPERS!F$11:F$311))</f>
        <v/>
      </c>
      <c r="T59" s="4">
        <f>IF(LOOKUP($N59, ALLCAMPERS!$A$11:$A$311, ALLCAMPERS!G$11:G$311) = 0, "", LOOKUP($N59, ALLCAMPERS!$A$11:$A$311, ALLCAMPERS!G$11:G$311))</f>
        <v>6</v>
      </c>
      <c r="U59" s="4">
        <f>IF(LOOKUP($N59, ALLCAMPERS!$A$11:$A$311, ALLCAMPERS!H$11:H$311) = 0, "", LOOKUP($N59, ALLCAMPERS!$A$11:$A$311, ALLCAMPERS!H$11:H$311))</f>
        <v>6</v>
      </c>
      <c r="V59" s="4">
        <f>IF(LOOKUP($N59, ALLCAMPERS!$A$11:$A$311, ALLCAMPERS!I$11:I$311) = 0, "", LOOKUP($N59, ALLCAMPERS!$A$11:$A$311, ALLCAMPERS!I$11:I$311))</f>
        <v>3</v>
      </c>
      <c r="W59" s="4">
        <f>IF(LOOKUP($N59, ALLCAMPERS!$A$11:$A$311, ALLCAMPERS!J$11:J$311) = 0, "", LOOKUP($N59, ALLCAMPERS!$A$11:$A$311, ALLCAMPERS!J$11:J$311))</f>
        <v>6</v>
      </c>
      <c r="X59" s="4" t="str">
        <f>IF(LOOKUP($N59, ALLCAMPERS!$A$11:$A$311, ALLCAMPERS!K$11:K$311) = 0, "", LOOKUP($N59, ALLCAMPERS!$A$11:$A$311, ALLCAMPERS!K$11:K$311))</f>
        <v/>
      </c>
      <c r="Y59" s="4" t="str">
        <f>IF(LOOKUP($N59, ALLCAMPERS!$A$11:$A$311, ALLCAMPERS!L$11:L$311) = 0, "", LOOKUP($N59, ALLCAMPERS!$A$11:$A$311, ALLCAMPERS!L$11:L$311))</f>
        <v/>
      </c>
    </row>
    <row r="60" spans="1:25" x14ac:dyDescent="0.3">
      <c r="N60" s="4">
        <f t="shared" si="9"/>
        <v>1406</v>
      </c>
      <c r="O60" s="4">
        <f>LOOKUP(N60, ALLCAMPERS!$A$11:$A$311, ALLCAMPERS!$B$11:$B$311)</f>
        <v>14</v>
      </c>
      <c r="P60" s="4">
        <f>LOOKUP(N60, ALLCAMPERS!$A$11:$A$311, ALLCAMPERS!$C$11:$C$311)</f>
        <v>6</v>
      </c>
      <c r="Q60" s="4" t="str">
        <f>LOOKUP(N60, ALLCAMPERS!$A$11:$A$311, ALLCAMPERS!$D$11:$D$311)</f>
        <v>Majd</v>
      </c>
      <c r="R60" s="4" t="str">
        <f>LOOKUP(N60, ALLCAMPERS!$A$11:$A$311, ALLCAMPERS!$E$11:$E$311)</f>
        <v>SHALASH</v>
      </c>
      <c r="S60" s="4" t="str">
        <f>IF(LOOKUP($N60, ALLCAMPERS!$A$11:$A$311, ALLCAMPERS!F$11:F$311) = 0, "", LOOKUP($N60, ALLCAMPERS!$A$11:$A$311, ALLCAMPERS!F$11:F$311))</f>
        <v/>
      </c>
      <c r="T60" s="4">
        <f>IF(LOOKUP($N60, ALLCAMPERS!$A$11:$A$311, ALLCAMPERS!G$11:G$311) = 0, "", LOOKUP($N60, ALLCAMPERS!$A$11:$A$311, ALLCAMPERS!G$11:G$311))</f>
        <v>1</v>
      </c>
      <c r="U60" s="4">
        <f>IF(LOOKUP($N60, ALLCAMPERS!$A$11:$A$311, ALLCAMPERS!H$11:H$311) = 0, "", LOOKUP($N60, ALLCAMPERS!$A$11:$A$311, ALLCAMPERS!H$11:H$311))</f>
        <v>2</v>
      </c>
      <c r="V60" s="4">
        <f>IF(LOOKUP($N60, ALLCAMPERS!$A$11:$A$311, ALLCAMPERS!I$11:I$311) = 0, "", LOOKUP($N60, ALLCAMPERS!$A$11:$A$311, ALLCAMPERS!I$11:I$311))</f>
        <v>2</v>
      </c>
      <c r="W60" s="4">
        <f>IF(LOOKUP($N60, ALLCAMPERS!$A$11:$A$311, ALLCAMPERS!J$11:J$311) = 0, "", LOOKUP($N60, ALLCAMPERS!$A$11:$A$311, ALLCAMPERS!J$11:J$311))</f>
        <v>4</v>
      </c>
      <c r="X60" s="4" t="str">
        <f>IF(LOOKUP($N60, ALLCAMPERS!$A$11:$A$311, ALLCAMPERS!K$11:K$311) = 0, "", LOOKUP($N60, ALLCAMPERS!$A$11:$A$311, ALLCAMPERS!K$11:K$311))</f>
        <v/>
      </c>
      <c r="Y60" s="4" t="str">
        <f>IF(LOOKUP($N60, ALLCAMPERS!$A$11:$A$311, ALLCAMPERS!L$11:L$311) = 0, "", LOOKUP($N60, ALLCAMPERS!$A$11:$A$311, ALLCAMPERS!L$11:L$311))</f>
        <v/>
      </c>
    </row>
    <row r="61" spans="1:25" x14ac:dyDescent="0.3">
      <c r="N61" s="4">
        <f t="shared" si="9"/>
        <v>1407</v>
      </c>
      <c r="O61" s="4">
        <f>LOOKUP(N61, ALLCAMPERS!$A$11:$A$311, ALLCAMPERS!$B$11:$B$311)</f>
        <v>14</v>
      </c>
      <c r="P61" s="4">
        <f>LOOKUP(N61, ALLCAMPERS!$A$11:$A$311, ALLCAMPERS!$C$11:$C$311)</f>
        <v>7</v>
      </c>
      <c r="Q61" s="4" t="str">
        <f>LOOKUP(N61, ALLCAMPERS!$A$11:$A$311, ALLCAMPERS!$D$11:$D$311)</f>
        <v>Dimitri</v>
      </c>
      <c r="R61" s="4" t="str">
        <f>LOOKUP(N61, ALLCAMPERS!$A$11:$A$311, ALLCAMPERS!$E$11:$E$311)</f>
        <v>MANSOUR</v>
      </c>
      <c r="S61" s="4" t="str">
        <f>IF(LOOKUP($N61, ALLCAMPERS!$A$11:$A$311, ALLCAMPERS!F$11:F$311) = 0, "", LOOKUP($N61, ALLCAMPERS!$A$11:$A$311, ALLCAMPERS!F$11:F$311))</f>
        <v/>
      </c>
      <c r="T61" s="4">
        <f>IF(LOOKUP($N61, ALLCAMPERS!$A$11:$A$311, ALLCAMPERS!G$11:G$311) = 0, "", LOOKUP($N61, ALLCAMPERS!$A$11:$A$311, ALLCAMPERS!G$11:G$311))</f>
        <v>6</v>
      </c>
      <c r="U61" s="4">
        <f>IF(LOOKUP($N61, ALLCAMPERS!$A$11:$A$311, ALLCAMPERS!H$11:H$311) = 0, "", LOOKUP($N61, ALLCAMPERS!$A$11:$A$311, ALLCAMPERS!H$11:H$311))</f>
        <v>3</v>
      </c>
      <c r="V61" s="4">
        <f>IF(LOOKUP($N61, ALLCAMPERS!$A$11:$A$311, ALLCAMPERS!I$11:I$311) = 0, "", LOOKUP($N61, ALLCAMPERS!$A$11:$A$311, ALLCAMPERS!I$11:I$311))</f>
        <v>1</v>
      </c>
      <c r="W61" s="4">
        <f>IF(LOOKUP($N61, ALLCAMPERS!$A$11:$A$311, ALLCAMPERS!J$11:J$311) = 0, "", LOOKUP($N61, ALLCAMPERS!$A$11:$A$311, ALLCAMPERS!J$11:J$311))</f>
        <v>1</v>
      </c>
      <c r="X61" s="4" t="str">
        <f>IF(LOOKUP($N61, ALLCAMPERS!$A$11:$A$311, ALLCAMPERS!K$11:K$311) = 0, "", LOOKUP($N61, ALLCAMPERS!$A$11:$A$311, ALLCAMPERS!K$11:K$311))</f>
        <v/>
      </c>
      <c r="Y61" s="4" t="str">
        <f>IF(LOOKUP($N61, ALLCAMPERS!$A$11:$A$311, ALLCAMPERS!L$11:L$311) = 0, "", LOOKUP($N61, ALLCAMPERS!$A$11:$A$311, ALLCAMPERS!L$11:L$311))</f>
        <v/>
      </c>
    </row>
    <row r="62" spans="1:25" x14ac:dyDescent="0.3">
      <c r="N62" s="4">
        <f t="shared" si="9"/>
        <v>1408</v>
      </c>
      <c r="O62" s="4">
        <f>LOOKUP(N62, ALLCAMPERS!$A$11:$A$311, ALLCAMPERS!$B$11:$B$311)</f>
        <v>14</v>
      </c>
      <c r="P62" s="4">
        <f>LOOKUP(N62, ALLCAMPERS!$A$11:$A$311, ALLCAMPERS!$C$11:$C$311)</f>
        <v>8</v>
      </c>
      <c r="Q62" s="4" t="str">
        <f>LOOKUP(N62, ALLCAMPERS!$A$11:$A$311, ALLCAMPERS!$D$11:$D$311)</f>
        <v>Daniel</v>
      </c>
      <c r="R62" s="4" t="str">
        <f>LOOKUP(N62, ALLCAMPERS!$A$11:$A$311, ALLCAMPERS!$E$11:$E$311)</f>
        <v>CHAHINE</v>
      </c>
      <c r="S62" s="4" t="str">
        <f>IF(LOOKUP($N62, ALLCAMPERS!$A$11:$A$311, ALLCAMPERS!F$11:F$311) = 0, "", LOOKUP($N62, ALLCAMPERS!$A$11:$A$311, ALLCAMPERS!F$11:F$311))</f>
        <v/>
      </c>
      <c r="T62" s="4">
        <f>IF(LOOKUP($N62, ALLCAMPERS!$A$11:$A$311, ALLCAMPERS!G$11:G$311) = 0, "", LOOKUP($N62, ALLCAMPERS!$A$11:$A$311, ALLCAMPERS!G$11:G$311))</f>
        <v>4</v>
      </c>
      <c r="U62" s="4">
        <f>IF(LOOKUP($N62, ALLCAMPERS!$A$11:$A$311, ALLCAMPERS!H$11:H$311) = 0, "", LOOKUP($N62, ALLCAMPERS!$A$11:$A$311, ALLCAMPERS!H$11:H$311))</f>
        <v>2</v>
      </c>
      <c r="V62" s="4">
        <f>IF(LOOKUP($N62, ALLCAMPERS!$A$11:$A$311, ALLCAMPERS!I$11:I$311) = 0, "", LOOKUP($N62, ALLCAMPERS!$A$11:$A$311, ALLCAMPERS!I$11:I$311))</f>
        <v>7</v>
      </c>
      <c r="W62" s="4">
        <f>IF(LOOKUP($N62, ALLCAMPERS!$A$11:$A$311, ALLCAMPERS!J$11:J$311) = 0, "", LOOKUP($N62, ALLCAMPERS!$A$11:$A$311, ALLCAMPERS!J$11:J$311))</f>
        <v>1</v>
      </c>
      <c r="X62" s="4" t="str">
        <f>IF(LOOKUP($N62, ALLCAMPERS!$A$11:$A$311, ALLCAMPERS!K$11:K$311) = 0, "", LOOKUP($N62, ALLCAMPERS!$A$11:$A$311, ALLCAMPERS!K$11:K$311))</f>
        <v/>
      </c>
      <c r="Y62" s="4" t="str">
        <f>IF(LOOKUP($N62, ALLCAMPERS!$A$11:$A$311, ALLCAMPERS!L$11:L$311) = 0, "", LOOKUP($N62, ALLCAMPERS!$A$11:$A$311, ALLCAMPERS!L$11:L$311))</f>
        <v/>
      </c>
    </row>
    <row r="63" spans="1:25" x14ac:dyDescent="0.3">
      <c r="N63" s="4">
        <f t="shared" si="9"/>
        <v>1409</v>
      </c>
      <c r="O63" s="4">
        <f>LOOKUP(N63, ALLCAMPERS!$A$11:$A$311, ALLCAMPERS!$B$11:$B$311)</f>
        <v>14</v>
      </c>
      <c r="P63" s="4">
        <f>LOOKUP(N63, ALLCAMPERS!$A$11:$A$311, ALLCAMPERS!$C$11:$C$311)</f>
        <v>9</v>
      </c>
      <c r="Q63" s="4" t="str">
        <f>LOOKUP(N63, ALLCAMPERS!$A$11:$A$311, ALLCAMPERS!$D$11:$D$311)</f>
        <v>Fuad</v>
      </c>
      <c r="R63" s="4" t="str">
        <f>LOOKUP(N63, ALLCAMPERS!$A$11:$A$311, ALLCAMPERS!$E$11:$E$311)</f>
        <v>MUSA</v>
      </c>
      <c r="S63" s="4" t="str">
        <f>IF(LOOKUP($N63, ALLCAMPERS!$A$11:$A$311, ALLCAMPERS!F$11:F$311) = 0, "", LOOKUP($N63, ALLCAMPERS!$A$11:$A$311, ALLCAMPERS!F$11:F$311))</f>
        <v/>
      </c>
      <c r="T63" s="4">
        <f>IF(LOOKUP($N63, ALLCAMPERS!$A$11:$A$311, ALLCAMPERS!G$11:G$311) = 0, "", LOOKUP($N63, ALLCAMPERS!$A$11:$A$311, ALLCAMPERS!G$11:G$311))</f>
        <v>4</v>
      </c>
      <c r="U63" s="4">
        <f>IF(LOOKUP($N63, ALLCAMPERS!$A$11:$A$311, ALLCAMPERS!H$11:H$311) = 0, "", LOOKUP($N63, ALLCAMPERS!$A$11:$A$311, ALLCAMPERS!H$11:H$311))</f>
        <v>6</v>
      </c>
      <c r="V63" s="4">
        <f>IF(LOOKUP($N63, ALLCAMPERS!$A$11:$A$311, ALLCAMPERS!I$11:I$311) = 0, "", LOOKUP($N63, ALLCAMPERS!$A$11:$A$311, ALLCAMPERS!I$11:I$311))</f>
        <v>1</v>
      </c>
      <c r="W63" s="4">
        <f>IF(LOOKUP($N63, ALLCAMPERS!$A$11:$A$311, ALLCAMPERS!J$11:J$311) = 0, "", LOOKUP($N63, ALLCAMPERS!$A$11:$A$311, ALLCAMPERS!J$11:J$311))</f>
        <v>1</v>
      </c>
      <c r="X63" s="4" t="str">
        <f>IF(LOOKUP($N63, ALLCAMPERS!$A$11:$A$311, ALLCAMPERS!K$11:K$311) = 0, "", LOOKUP($N63, ALLCAMPERS!$A$11:$A$311, ALLCAMPERS!K$11:K$311))</f>
        <v/>
      </c>
      <c r="Y63" s="4" t="str">
        <f>IF(LOOKUP($N63, ALLCAMPERS!$A$11:$A$311, ALLCAMPERS!L$11:L$311) = 0, "", LOOKUP($N63, ALLCAMPERS!$A$11:$A$311, ALLCAMPERS!L$11:L$311))</f>
        <v/>
      </c>
    </row>
    <row r="71" spans="1:25" ht="28.8" x14ac:dyDescent="0.3">
      <c r="A71" s="16" t="s">
        <v>0</v>
      </c>
      <c r="B71" s="16" t="s">
        <v>1</v>
      </c>
      <c r="C71" s="16" t="s">
        <v>76</v>
      </c>
      <c r="D71" s="16" t="s">
        <v>2</v>
      </c>
      <c r="E71" s="16" t="s">
        <v>3</v>
      </c>
      <c r="F71" s="16" t="s">
        <v>16</v>
      </c>
      <c r="G71" s="16" t="s">
        <v>311</v>
      </c>
      <c r="H71" s="16" t="s">
        <v>312</v>
      </c>
      <c r="I71" s="16" t="s">
        <v>313</v>
      </c>
      <c r="J71" s="16" t="s">
        <v>314</v>
      </c>
      <c r="K71" s="16" t="s">
        <v>87</v>
      </c>
      <c r="L71" s="16" t="s">
        <v>88</v>
      </c>
      <c r="M71" s="16"/>
      <c r="N71" s="16" t="s">
        <v>0</v>
      </c>
      <c r="O71" s="16" t="s">
        <v>1</v>
      </c>
      <c r="P71" s="16" t="s">
        <v>76</v>
      </c>
      <c r="Q71" s="16" t="s">
        <v>2</v>
      </c>
      <c r="R71" s="16" t="s">
        <v>3</v>
      </c>
      <c r="S71" s="16" t="s">
        <v>16</v>
      </c>
      <c r="T71" s="16" t="s">
        <v>311</v>
      </c>
      <c r="U71" s="16" t="s">
        <v>312</v>
      </c>
      <c r="V71" s="16" t="s">
        <v>313</v>
      </c>
      <c r="W71" s="16" t="s">
        <v>314</v>
      </c>
      <c r="X71" s="16" t="s">
        <v>87</v>
      </c>
      <c r="Y71" s="16" t="s">
        <v>88</v>
      </c>
    </row>
    <row r="72" spans="1:25" x14ac:dyDescent="0.3">
      <c r="A72" s="4">
        <v>501</v>
      </c>
      <c r="B72" s="4">
        <f>LOOKUP(A72, ALLCAMPERS!$A$11:$A$311, ALLCAMPERS!$B$11:$B$311)</f>
        <v>5</v>
      </c>
      <c r="C72" s="4">
        <f>LOOKUP(A72, ALLCAMPERS!$A$11:$A$311, ALLCAMPERS!$C$11:$C$311)</f>
        <v>1</v>
      </c>
      <c r="D72" s="4" t="str">
        <f>LOOKUP(A72, ALLCAMPERS!$A$11:$A$311, ALLCAMPERS!$D$11:$D$311)</f>
        <v>Catherine</v>
      </c>
      <c r="E72" s="4" t="str">
        <f>LOOKUP(A72, ALLCAMPERS!$A$11:$A$311, ALLCAMPERS!$E$11:$E$311)</f>
        <v>LOUCA</v>
      </c>
      <c r="F72" s="4" t="str">
        <f>IF(LOOKUP($A72, ALLCAMPERS!$A$11:$A$311, ALLCAMPERS!F$11:F$311) = 0, "", LOOKUP($A72, ALLCAMPERS!$A$11:$A$311, ALLCAMPERS!F$11:F$311))</f>
        <v/>
      </c>
      <c r="G72" s="4">
        <f>IF(LOOKUP($A72, ALLCAMPERS!$A$11:$A$311, ALLCAMPERS!G$11:G$311) = 0, "", LOOKUP($A72, ALLCAMPERS!$A$11:$A$311, ALLCAMPERS!G$11:G$311))</f>
        <v>5</v>
      </c>
      <c r="H72" s="4">
        <f>IF(LOOKUP($A72, ALLCAMPERS!$A$11:$A$311, ALLCAMPERS!H$11:H$311) = 0, "", LOOKUP($A72, ALLCAMPERS!$A$11:$A$311, ALLCAMPERS!H$11:H$311))</f>
        <v>1</v>
      </c>
      <c r="I72" s="4">
        <f>IF(LOOKUP($A72, ALLCAMPERS!$A$11:$A$311, ALLCAMPERS!I$11:I$311) = 0, "", LOOKUP($A72, ALLCAMPERS!$A$11:$A$311, ALLCAMPERS!I$11:I$311))</f>
        <v>3</v>
      </c>
      <c r="J72" s="4">
        <f>IF(LOOKUP($A72, ALLCAMPERS!$A$11:$A$311, ALLCAMPERS!J$11:J$311) = 0, "", LOOKUP($A72, ALLCAMPERS!$A$11:$A$311, ALLCAMPERS!J$11:J$311))</f>
        <v>2</v>
      </c>
      <c r="K72" s="4" t="str">
        <f>IF(LOOKUP($A72, ALLCAMPERS!$A$11:$A$311, ALLCAMPERS!K$11:K$311) = 0, "", LOOKUP($A72, ALLCAMPERS!$A$11:$A$311, ALLCAMPERS!K$11:K$311))</f>
        <v/>
      </c>
      <c r="L72" s="4" t="str">
        <f>IF(LOOKUP($A72, ALLCAMPERS!$A$11:$A$311, ALLCAMPERS!L$11:L$311) = 0, "", LOOKUP($A72, ALLCAMPERS!$A$11:$A$311, ALLCAMPERS!L$11:L$311))</f>
        <v/>
      </c>
      <c r="N72" s="4">
        <f>A72+1000</f>
        <v>1501</v>
      </c>
      <c r="O72" s="4">
        <f>LOOKUP(N72, ALLCAMPERS!$A$11:$A$311, ALLCAMPERS!$B$11:$B$311)</f>
        <v>15</v>
      </c>
      <c r="P72" s="4">
        <f>LOOKUP(N72, ALLCAMPERS!$A$11:$A$311, ALLCAMPERS!$C$11:$C$311)</f>
        <v>1</v>
      </c>
      <c r="Q72" s="4" t="str">
        <f>LOOKUP(N72, ALLCAMPERS!$A$11:$A$311, ALLCAMPERS!$D$11:$D$311)</f>
        <v>Fadi</v>
      </c>
      <c r="R72" s="4" t="str">
        <f>LOOKUP(N72, ALLCAMPERS!$A$11:$A$311, ALLCAMPERS!$E$11:$E$311)</f>
        <v>JARADE</v>
      </c>
      <c r="S72" s="4" t="str">
        <f>IF(LOOKUP($N72, ALLCAMPERS!$A$11:$A$311, ALLCAMPERS!F$11:F$311) = 0, "", LOOKUP($N72, ALLCAMPERS!$A$11:$A$311, ALLCAMPERS!F$11:F$311))</f>
        <v/>
      </c>
      <c r="T72" s="4">
        <f>IF(LOOKUP($N72, ALLCAMPERS!$A$11:$A$311, ALLCAMPERS!G$11:G$311) = 0, "", LOOKUP($N72, ALLCAMPERS!$A$11:$A$311, ALLCAMPERS!G$11:G$311))</f>
        <v>2</v>
      </c>
      <c r="U72" s="4">
        <f>IF(LOOKUP($N72, ALLCAMPERS!$A$11:$A$311, ALLCAMPERS!H$11:H$311) = 0, "", LOOKUP($N72, ALLCAMPERS!$A$11:$A$311, ALLCAMPERS!H$11:H$311))</f>
        <v>4</v>
      </c>
      <c r="V72" s="4">
        <f>IF(LOOKUP($N72, ALLCAMPERS!$A$11:$A$311, ALLCAMPERS!I$11:I$311) = 0, "", LOOKUP($N72, ALLCAMPERS!$A$11:$A$311, ALLCAMPERS!I$11:I$311))</f>
        <v>3</v>
      </c>
      <c r="W72" s="4">
        <f>IF(LOOKUP($N72, ALLCAMPERS!$A$11:$A$311, ALLCAMPERS!J$11:J$311) = 0, "", LOOKUP($N72, ALLCAMPERS!$A$11:$A$311, ALLCAMPERS!J$11:J$311))</f>
        <v>4</v>
      </c>
      <c r="X72" s="4" t="str">
        <f>IF(LOOKUP($N72, ALLCAMPERS!$A$11:$A$311, ALLCAMPERS!K$11:K$311) = 0, "", LOOKUP($N72, ALLCAMPERS!$A$11:$A$311, ALLCAMPERS!K$11:K$311))</f>
        <v/>
      </c>
      <c r="Y72" s="4" t="str">
        <f>IF(LOOKUP($N72, ALLCAMPERS!$A$11:$A$311, ALLCAMPERS!L$11:L$311) = 0, "", LOOKUP($N72, ALLCAMPERS!$A$11:$A$311, ALLCAMPERS!L$11:L$311))</f>
        <v/>
      </c>
    </row>
    <row r="73" spans="1:25" x14ac:dyDescent="0.3">
      <c r="A73" s="4">
        <f>A72+1</f>
        <v>502</v>
      </c>
      <c r="B73" s="4">
        <f>LOOKUP(A73, ALLCAMPERS!$A$11:$A$311, ALLCAMPERS!$B$11:$B$311)</f>
        <v>5</v>
      </c>
      <c r="C73" s="4">
        <f>LOOKUP(A73, ALLCAMPERS!$A$11:$A$311, ALLCAMPERS!$C$11:$C$311)</f>
        <v>2</v>
      </c>
      <c r="D73" s="4" t="str">
        <f>LOOKUP(A73, ALLCAMPERS!$A$11:$A$311, ALLCAMPERS!$D$11:$D$311)</f>
        <v>Mireille</v>
      </c>
      <c r="E73" s="4" t="str">
        <f>LOOKUP(A73, ALLCAMPERS!$A$11:$A$311, ALLCAMPERS!$E$11:$E$311)</f>
        <v>HAZIM</v>
      </c>
      <c r="F73" s="4" t="str">
        <f>IF(LOOKUP($A73, ALLCAMPERS!$A$11:$A$311, ALLCAMPERS!F$11:F$311) = 0, "", LOOKUP($A73, ALLCAMPERS!$A$11:$A$311, ALLCAMPERS!F$11:F$311))</f>
        <v/>
      </c>
      <c r="G73" s="4">
        <f>IF(LOOKUP($A73, ALLCAMPERS!$A$11:$A$311, ALLCAMPERS!G$11:G$311) = 0, "", LOOKUP($A73, ALLCAMPERS!$A$11:$A$311, ALLCAMPERS!G$11:G$311))</f>
        <v>4</v>
      </c>
      <c r="H73" s="4">
        <f>IF(LOOKUP($A73, ALLCAMPERS!$A$11:$A$311, ALLCAMPERS!H$11:H$311) = 0, "", LOOKUP($A73, ALLCAMPERS!$A$11:$A$311, ALLCAMPERS!H$11:H$311))</f>
        <v>4</v>
      </c>
      <c r="I73" s="4">
        <f>IF(LOOKUP($A73, ALLCAMPERS!$A$11:$A$311, ALLCAMPERS!I$11:I$311) = 0, "", LOOKUP($A73, ALLCAMPERS!$A$11:$A$311, ALLCAMPERS!I$11:I$311))</f>
        <v>7</v>
      </c>
      <c r="J73" s="4">
        <f>IF(LOOKUP($A73, ALLCAMPERS!$A$11:$A$311, ALLCAMPERS!J$11:J$311) = 0, "", LOOKUP($A73, ALLCAMPERS!$A$11:$A$311, ALLCAMPERS!J$11:J$311))</f>
        <v>3</v>
      </c>
      <c r="K73" s="4" t="str">
        <f>IF(LOOKUP($A73, ALLCAMPERS!$A$11:$A$311, ALLCAMPERS!K$11:K$311) = 0, "", LOOKUP($A73, ALLCAMPERS!$A$11:$A$311, ALLCAMPERS!K$11:K$311))</f>
        <v/>
      </c>
      <c r="L73" s="4" t="str">
        <f>IF(LOOKUP($A73, ALLCAMPERS!$A$11:$A$311, ALLCAMPERS!L$11:L$311) = 0, "", LOOKUP($A73, ALLCAMPERS!$A$11:$A$311, ALLCAMPERS!L$11:L$311))</f>
        <v/>
      </c>
      <c r="N73" s="4">
        <f>N72+1</f>
        <v>1502</v>
      </c>
      <c r="O73" s="4">
        <f>LOOKUP(N73, ALLCAMPERS!$A$11:$A$311, ALLCAMPERS!$B$11:$B$311)</f>
        <v>15</v>
      </c>
      <c r="P73" s="4">
        <f>LOOKUP(N73, ALLCAMPERS!$A$11:$A$311, ALLCAMPERS!$C$11:$C$311)</f>
        <v>2</v>
      </c>
      <c r="Q73" s="4" t="str">
        <f>LOOKUP(N73, ALLCAMPERS!$A$11:$A$311, ALLCAMPERS!$D$11:$D$311)</f>
        <v>Dominic</v>
      </c>
      <c r="R73" s="4" t="str">
        <f>LOOKUP(N73, ALLCAMPERS!$A$11:$A$311, ALLCAMPERS!$E$11:$E$311)</f>
        <v>MELKI</v>
      </c>
      <c r="S73" s="4" t="str">
        <f>IF(LOOKUP($N73, ALLCAMPERS!$A$11:$A$311, ALLCAMPERS!F$11:F$311) = 0, "", LOOKUP($N73, ALLCAMPERS!$A$11:$A$311, ALLCAMPERS!F$11:F$311))</f>
        <v/>
      </c>
      <c r="T73" s="4">
        <f>IF(LOOKUP($N73, ALLCAMPERS!$A$11:$A$311, ALLCAMPERS!G$11:G$311) = 0, "", LOOKUP($N73, ALLCAMPERS!$A$11:$A$311, ALLCAMPERS!G$11:G$311))</f>
        <v>1</v>
      </c>
      <c r="U73" s="4">
        <f>IF(LOOKUP($N73, ALLCAMPERS!$A$11:$A$311, ALLCAMPERS!H$11:H$311) = 0, "", LOOKUP($N73, ALLCAMPERS!$A$11:$A$311, ALLCAMPERS!H$11:H$311))</f>
        <v>4</v>
      </c>
      <c r="V73" s="4">
        <f>IF(LOOKUP($N73, ALLCAMPERS!$A$11:$A$311, ALLCAMPERS!I$11:I$311) = 0, "", LOOKUP($N73, ALLCAMPERS!$A$11:$A$311, ALLCAMPERS!I$11:I$311))</f>
        <v>6</v>
      </c>
      <c r="W73" s="4">
        <f>IF(LOOKUP($N73, ALLCAMPERS!$A$11:$A$311, ALLCAMPERS!J$11:J$311) = 0, "", LOOKUP($N73, ALLCAMPERS!$A$11:$A$311, ALLCAMPERS!J$11:J$311))</f>
        <v>1</v>
      </c>
      <c r="X73" s="4" t="str">
        <f>IF(LOOKUP($N73, ALLCAMPERS!$A$11:$A$311, ALLCAMPERS!K$11:K$311) = 0, "", LOOKUP($N73, ALLCAMPERS!$A$11:$A$311, ALLCAMPERS!K$11:K$311))</f>
        <v/>
      </c>
      <c r="Y73" s="4" t="str">
        <f>IF(LOOKUP($N73, ALLCAMPERS!$A$11:$A$311, ALLCAMPERS!L$11:L$311) = 0, "", LOOKUP($N73, ALLCAMPERS!$A$11:$A$311, ALLCAMPERS!L$11:L$311))</f>
        <v/>
      </c>
    </row>
    <row r="74" spans="1:25" x14ac:dyDescent="0.3">
      <c r="A74" s="4">
        <f t="shared" ref="A74:A76" si="10">A73+1</f>
        <v>503</v>
      </c>
      <c r="B74" s="4">
        <f>LOOKUP(A74, ALLCAMPERS!$A$11:$A$311, ALLCAMPERS!$B$11:$B$311)</f>
        <v>5</v>
      </c>
      <c r="C74" s="4">
        <f>LOOKUP(A74, ALLCAMPERS!$A$11:$A$311, ALLCAMPERS!$C$11:$C$311)</f>
        <v>3</v>
      </c>
      <c r="D74" s="4" t="str">
        <f>LOOKUP(A74, ALLCAMPERS!$A$11:$A$311, ALLCAMPERS!$D$11:$D$311)</f>
        <v>Reina</v>
      </c>
      <c r="E74" s="4" t="str">
        <f>LOOKUP(A74, ALLCAMPERS!$A$11:$A$311, ALLCAMPERS!$E$11:$E$311)</f>
        <v>HAWA</v>
      </c>
      <c r="F74" s="4" t="str">
        <f>IF(LOOKUP($A74, ALLCAMPERS!$A$11:$A$311, ALLCAMPERS!F$11:F$311) = 0, "", LOOKUP($A74, ALLCAMPERS!$A$11:$A$311, ALLCAMPERS!F$11:F$311))</f>
        <v/>
      </c>
      <c r="G74" s="4">
        <f>IF(LOOKUP($A74, ALLCAMPERS!$A$11:$A$311, ALLCAMPERS!G$11:G$311) = 0, "", LOOKUP($A74, ALLCAMPERS!$A$11:$A$311, ALLCAMPERS!G$11:G$311))</f>
        <v>6</v>
      </c>
      <c r="H74" s="4">
        <f>IF(LOOKUP($A74, ALLCAMPERS!$A$11:$A$311, ALLCAMPERS!H$11:H$311) = 0, "", LOOKUP($A74, ALLCAMPERS!$A$11:$A$311, ALLCAMPERS!H$11:H$311))</f>
        <v>6</v>
      </c>
      <c r="I74" s="4">
        <f>IF(LOOKUP($A74, ALLCAMPERS!$A$11:$A$311, ALLCAMPERS!I$11:I$311) = 0, "", LOOKUP($A74, ALLCAMPERS!$A$11:$A$311, ALLCAMPERS!I$11:I$311))</f>
        <v>4</v>
      </c>
      <c r="J74" s="4">
        <f>IF(LOOKUP($A74, ALLCAMPERS!$A$11:$A$311, ALLCAMPERS!J$11:J$311) = 0, "", LOOKUP($A74, ALLCAMPERS!$A$11:$A$311, ALLCAMPERS!J$11:J$311))</f>
        <v>1</v>
      </c>
      <c r="K74" s="4" t="str">
        <f>IF(LOOKUP($A74, ALLCAMPERS!$A$11:$A$311, ALLCAMPERS!K$11:K$311) = 0, "", LOOKUP($A74, ALLCAMPERS!$A$11:$A$311, ALLCAMPERS!K$11:K$311))</f>
        <v/>
      </c>
      <c r="L74" s="4" t="str">
        <f>IF(LOOKUP($A74, ALLCAMPERS!$A$11:$A$311, ALLCAMPERS!L$11:L$311) = 0, "", LOOKUP($A74, ALLCAMPERS!$A$11:$A$311, ALLCAMPERS!L$11:L$311))</f>
        <v/>
      </c>
      <c r="N74" s="4">
        <f t="shared" ref="N74:N80" si="11">N73+1</f>
        <v>1503</v>
      </c>
      <c r="O74" s="4">
        <f>LOOKUP(N74, ALLCAMPERS!$A$11:$A$311, ALLCAMPERS!$B$11:$B$311)</f>
        <v>15</v>
      </c>
      <c r="P74" s="4">
        <f>LOOKUP(N74, ALLCAMPERS!$A$11:$A$311, ALLCAMPERS!$C$11:$C$311)</f>
        <v>3</v>
      </c>
      <c r="Q74" s="4" t="str">
        <f>LOOKUP(N74, ALLCAMPERS!$A$11:$A$311, ALLCAMPERS!$D$11:$D$311)</f>
        <v>William</v>
      </c>
      <c r="R74" s="4" t="str">
        <f>LOOKUP(N74, ALLCAMPERS!$A$11:$A$311, ALLCAMPERS!$E$11:$E$311)</f>
        <v>EL-AZZI</v>
      </c>
      <c r="S74" s="4" t="str">
        <f>IF(LOOKUP($N74, ALLCAMPERS!$A$11:$A$311, ALLCAMPERS!F$11:F$311) = 0, "", LOOKUP($N74, ALLCAMPERS!$A$11:$A$311, ALLCAMPERS!F$11:F$311))</f>
        <v/>
      </c>
      <c r="T74" s="4">
        <f>IF(LOOKUP($N74, ALLCAMPERS!$A$11:$A$311, ALLCAMPERS!G$11:G$311) = 0, "", LOOKUP($N74, ALLCAMPERS!$A$11:$A$311, ALLCAMPERS!G$11:G$311))</f>
        <v>7</v>
      </c>
      <c r="U74" s="4">
        <f>IF(LOOKUP($N74, ALLCAMPERS!$A$11:$A$311, ALLCAMPERS!H$11:H$311) = 0, "", LOOKUP($N74, ALLCAMPERS!$A$11:$A$311, ALLCAMPERS!H$11:H$311))</f>
        <v>1</v>
      </c>
      <c r="V74" s="4">
        <f>IF(LOOKUP($N74, ALLCAMPERS!$A$11:$A$311, ALLCAMPERS!I$11:I$311) = 0, "", LOOKUP($N74, ALLCAMPERS!$A$11:$A$311, ALLCAMPERS!I$11:I$311))</f>
        <v>3</v>
      </c>
      <c r="W74" s="4">
        <f>IF(LOOKUP($N74, ALLCAMPERS!$A$11:$A$311, ALLCAMPERS!J$11:J$311) = 0, "", LOOKUP($N74, ALLCAMPERS!$A$11:$A$311, ALLCAMPERS!J$11:J$311))</f>
        <v>2</v>
      </c>
      <c r="X74" s="4" t="str">
        <f>IF(LOOKUP($N74, ALLCAMPERS!$A$11:$A$311, ALLCAMPERS!K$11:K$311) = 0, "", LOOKUP($N74, ALLCAMPERS!$A$11:$A$311, ALLCAMPERS!K$11:K$311))</f>
        <v/>
      </c>
      <c r="Y74" s="4" t="str">
        <f>IF(LOOKUP($N74, ALLCAMPERS!$A$11:$A$311, ALLCAMPERS!L$11:L$311) = 0, "", LOOKUP($N74, ALLCAMPERS!$A$11:$A$311, ALLCAMPERS!L$11:L$311))</f>
        <v/>
      </c>
    </row>
    <row r="75" spans="1:25" x14ac:dyDescent="0.3">
      <c r="A75" s="4">
        <f t="shared" si="10"/>
        <v>504</v>
      </c>
      <c r="B75" s="4">
        <f>LOOKUP(A75, ALLCAMPERS!$A$11:$A$311, ALLCAMPERS!$B$11:$B$311)</f>
        <v>5</v>
      </c>
      <c r="C75" s="4">
        <f>LOOKUP(A75, ALLCAMPERS!$A$11:$A$311, ALLCAMPERS!$C$11:$C$311)</f>
        <v>4</v>
      </c>
      <c r="D75" s="4" t="str">
        <f>LOOKUP(A75, ALLCAMPERS!$A$11:$A$311, ALLCAMPERS!$D$11:$D$311)</f>
        <v>Yasmine</v>
      </c>
      <c r="E75" s="4" t="str">
        <f>LOOKUP(A75, ALLCAMPERS!$A$11:$A$311, ALLCAMPERS!$E$11:$E$311)</f>
        <v>KHOURY</v>
      </c>
      <c r="F75" s="4" t="str">
        <f>IF(LOOKUP($A75, ALLCAMPERS!$A$11:$A$311, ALLCAMPERS!F$11:F$311) = 0, "", LOOKUP($A75, ALLCAMPERS!$A$11:$A$311, ALLCAMPERS!F$11:F$311))</f>
        <v/>
      </c>
      <c r="G75" s="4">
        <f>IF(LOOKUP($A75, ALLCAMPERS!$A$11:$A$311, ALLCAMPERS!G$11:G$311) = 0, "", LOOKUP($A75, ALLCAMPERS!$A$11:$A$311, ALLCAMPERS!G$11:G$311))</f>
        <v>1</v>
      </c>
      <c r="H75" s="4">
        <f>IF(LOOKUP($A75, ALLCAMPERS!$A$11:$A$311, ALLCAMPERS!H$11:H$311) = 0, "", LOOKUP($A75, ALLCAMPERS!$A$11:$A$311, ALLCAMPERS!H$11:H$311))</f>
        <v>7</v>
      </c>
      <c r="I75" s="4">
        <f>IF(LOOKUP($A75, ALLCAMPERS!$A$11:$A$311, ALLCAMPERS!I$11:I$311) = 0, "", LOOKUP($A75, ALLCAMPERS!$A$11:$A$311, ALLCAMPERS!I$11:I$311))</f>
        <v>5</v>
      </c>
      <c r="J75" s="4">
        <f>IF(LOOKUP($A75, ALLCAMPERS!$A$11:$A$311, ALLCAMPERS!J$11:J$311) = 0, "", LOOKUP($A75, ALLCAMPERS!$A$11:$A$311, ALLCAMPERS!J$11:J$311))</f>
        <v>7</v>
      </c>
      <c r="K75" s="4" t="str">
        <f>IF(LOOKUP($A75, ALLCAMPERS!$A$11:$A$311, ALLCAMPERS!K$11:K$311) = 0, "", LOOKUP($A75, ALLCAMPERS!$A$11:$A$311, ALLCAMPERS!K$11:K$311))</f>
        <v/>
      </c>
      <c r="L75" s="4" t="str">
        <f>IF(LOOKUP($A75, ALLCAMPERS!$A$11:$A$311, ALLCAMPERS!L$11:L$311) = 0, "", LOOKUP($A75, ALLCAMPERS!$A$11:$A$311, ALLCAMPERS!L$11:L$311))</f>
        <v/>
      </c>
      <c r="N75" s="4">
        <f t="shared" si="11"/>
        <v>1504</v>
      </c>
      <c r="O75" s="4">
        <f>LOOKUP(N75, ALLCAMPERS!$A$11:$A$311, ALLCAMPERS!$B$11:$B$311)</f>
        <v>15</v>
      </c>
      <c r="P75" s="4">
        <f>LOOKUP(N75, ALLCAMPERS!$A$11:$A$311, ALLCAMPERS!$C$11:$C$311)</f>
        <v>4</v>
      </c>
      <c r="Q75" s="4" t="str">
        <f>LOOKUP(N75, ALLCAMPERS!$A$11:$A$311, ALLCAMPERS!$D$11:$D$311)</f>
        <v>Jourge</v>
      </c>
      <c r="R75" s="4" t="str">
        <f>LOOKUP(N75, ALLCAMPERS!$A$11:$A$311, ALLCAMPERS!$E$11:$E$311)</f>
        <v>YOUSSEF</v>
      </c>
      <c r="S75" s="4" t="str">
        <f>IF(LOOKUP($N75, ALLCAMPERS!$A$11:$A$311, ALLCAMPERS!F$11:F$311) = 0, "", LOOKUP($N75, ALLCAMPERS!$A$11:$A$311, ALLCAMPERS!F$11:F$311))</f>
        <v/>
      </c>
      <c r="T75" s="4">
        <f>IF(LOOKUP($N75, ALLCAMPERS!$A$11:$A$311, ALLCAMPERS!G$11:G$311) = 0, "", LOOKUP($N75, ALLCAMPERS!$A$11:$A$311, ALLCAMPERS!G$11:G$311))</f>
        <v>2</v>
      </c>
      <c r="U75" s="4">
        <f>IF(LOOKUP($N75, ALLCAMPERS!$A$11:$A$311, ALLCAMPERS!H$11:H$311) = 0, "", LOOKUP($N75, ALLCAMPERS!$A$11:$A$311, ALLCAMPERS!H$11:H$311))</f>
        <v>3</v>
      </c>
      <c r="V75" s="4">
        <f>IF(LOOKUP($N75, ALLCAMPERS!$A$11:$A$311, ALLCAMPERS!I$11:I$311) = 0, "", LOOKUP($N75, ALLCAMPERS!$A$11:$A$311, ALLCAMPERS!I$11:I$311))</f>
        <v>4</v>
      </c>
      <c r="W75" s="4">
        <f>IF(LOOKUP($N75, ALLCAMPERS!$A$11:$A$311, ALLCAMPERS!J$11:J$311) = 0, "", LOOKUP($N75, ALLCAMPERS!$A$11:$A$311, ALLCAMPERS!J$11:J$311))</f>
        <v>1</v>
      </c>
      <c r="X75" s="4" t="str">
        <f>IF(LOOKUP($N75, ALLCAMPERS!$A$11:$A$311, ALLCAMPERS!K$11:K$311) = 0, "", LOOKUP($N75, ALLCAMPERS!$A$11:$A$311, ALLCAMPERS!K$11:K$311))</f>
        <v/>
      </c>
      <c r="Y75" s="4" t="str">
        <f>IF(LOOKUP($N75, ALLCAMPERS!$A$11:$A$311, ALLCAMPERS!L$11:L$311) = 0, "", LOOKUP($N75, ALLCAMPERS!$A$11:$A$311, ALLCAMPERS!L$11:L$311))</f>
        <v/>
      </c>
    </row>
    <row r="76" spans="1:25" x14ac:dyDescent="0.3">
      <c r="A76" s="4">
        <f t="shared" si="10"/>
        <v>505</v>
      </c>
      <c r="B76" s="4">
        <f>LOOKUP(A76, ALLCAMPERS!$A$11:$A$311, ALLCAMPERS!$B$11:$B$311)</f>
        <v>5</v>
      </c>
      <c r="C76" s="4">
        <f>LOOKUP(A76, ALLCAMPERS!$A$11:$A$311, ALLCAMPERS!$C$11:$C$311)</f>
        <v>5</v>
      </c>
      <c r="D76" s="4" t="str">
        <f>LOOKUP(A76, ALLCAMPERS!$A$11:$A$311, ALLCAMPERS!$D$11:$D$311)</f>
        <v>Lamita</v>
      </c>
      <c r="E76" s="4" t="str">
        <f>LOOKUP(A76, ALLCAMPERS!$A$11:$A$311, ALLCAMPERS!$E$11:$E$311)</f>
        <v>ABOU-ASSALI</v>
      </c>
      <c r="F76" s="4" t="str">
        <f>IF(LOOKUP($A76, ALLCAMPERS!$A$11:$A$311, ALLCAMPERS!F$11:F$311) = 0, "", LOOKUP($A76, ALLCAMPERS!$A$11:$A$311, ALLCAMPERS!F$11:F$311))</f>
        <v/>
      </c>
      <c r="G76" s="4">
        <f>IF(LOOKUP($A76, ALLCAMPERS!$A$11:$A$311, ALLCAMPERS!G$11:G$311) = 0, "", LOOKUP($A76, ALLCAMPERS!$A$11:$A$311, ALLCAMPERS!G$11:G$311))</f>
        <v>5</v>
      </c>
      <c r="H76" s="4">
        <f>IF(LOOKUP($A76, ALLCAMPERS!$A$11:$A$311, ALLCAMPERS!H$11:H$311) = 0, "", LOOKUP($A76, ALLCAMPERS!$A$11:$A$311, ALLCAMPERS!H$11:H$311))</f>
        <v>3</v>
      </c>
      <c r="I76" s="4">
        <f>IF(LOOKUP($A76, ALLCAMPERS!$A$11:$A$311, ALLCAMPERS!I$11:I$311) = 0, "", LOOKUP($A76, ALLCAMPERS!$A$11:$A$311, ALLCAMPERS!I$11:I$311))</f>
        <v>4</v>
      </c>
      <c r="J76" s="4">
        <f>IF(LOOKUP($A76, ALLCAMPERS!$A$11:$A$311, ALLCAMPERS!J$11:J$311) = 0, "", LOOKUP($A76, ALLCAMPERS!$A$11:$A$311, ALLCAMPERS!J$11:J$311))</f>
        <v>4</v>
      </c>
      <c r="K76" s="4" t="str">
        <f>IF(LOOKUP($A76, ALLCAMPERS!$A$11:$A$311, ALLCAMPERS!K$11:K$311) = 0, "", LOOKUP($A76, ALLCAMPERS!$A$11:$A$311, ALLCAMPERS!K$11:K$311))</f>
        <v/>
      </c>
      <c r="L76" s="4" t="str">
        <f>IF(LOOKUP($A76, ALLCAMPERS!$A$11:$A$311, ALLCAMPERS!L$11:L$311) = 0, "", LOOKUP($A76, ALLCAMPERS!$A$11:$A$311, ALLCAMPERS!L$11:L$311))</f>
        <v/>
      </c>
      <c r="N76" s="4">
        <f t="shared" si="11"/>
        <v>1505</v>
      </c>
      <c r="O76" s="4">
        <f>LOOKUP(N76, ALLCAMPERS!$A$11:$A$311, ALLCAMPERS!$B$11:$B$311)</f>
        <v>15</v>
      </c>
      <c r="P76" s="4">
        <f>LOOKUP(N76, ALLCAMPERS!$A$11:$A$311, ALLCAMPERS!$C$11:$C$311)</f>
        <v>5</v>
      </c>
      <c r="Q76" s="4" t="str">
        <f>LOOKUP(N76, ALLCAMPERS!$A$11:$A$311, ALLCAMPERS!$D$11:$D$311)</f>
        <v>Michael</v>
      </c>
      <c r="R76" s="4" t="str">
        <f>LOOKUP(N76, ALLCAMPERS!$A$11:$A$311, ALLCAMPERS!$E$11:$E$311)</f>
        <v>LTEIF</v>
      </c>
      <c r="S76" s="4" t="str">
        <f>IF(LOOKUP($N76, ALLCAMPERS!$A$11:$A$311, ALLCAMPERS!F$11:F$311) = 0, "", LOOKUP($N76, ALLCAMPERS!$A$11:$A$311, ALLCAMPERS!F$11:F$311))</f>
        <v/>
      </c>
      <c r="T76" s="4">
        <f>IF(LOOKUP($N76, ALLCAMPERS!$A$11:$A$311, ALLCAMPERS!G$11:G$311) = 0, "", LOOKUP($N76, ALLCAMPERS!$A$11:$A$311, ALLCAMPERS!G$11:G$311))</f>
        <v>6</v>
      </c>
      <c r="U76" s="4">
        <f>IF(LOOKUP($N76, ALLCAMPERS!$A$11:$A$311, ALLCAMPERS!H$11:H$311) = 0, "", LOOKUP($N76, ALLCAMPERS!$A$11:$A$311, ALLCAMPERS!H$11:H$311))</f>
        <v>4</v>
      </c>
      <c r="V76" s="4">
        <f>IF(LOOKUP($N76, ALLCAMPERS!$A$11:$A$311, ALLCAMPERS!I$11:I$311) = 0, "", LOOKUP($N76, ALLCAMPERS!$A$11:$A$311, ALLCAMPERS!I$11:I$311))</f>
        <v>1</v>
      </c>
      <c r="W76" s="4">
        <f>IF(LOOKUP($N76, ALLCAMPERS!$A$11:$A$311, ALLCAMPERS!J$11:J$311) = 0, "", LOOKUP($N76, ALLCAMPERS!$A$11:$A$311, ALLCAMPERS!J$11:J$311))</f>
        <v>1</v>
      </c>
      <c r="X76" s="4" t="str">
        <f>IF(LOOKUP($N76, ALLCAMPERS!$A$11:$A$311, ALLCAMPERS!K$11:K$311) = 0, "", LOOKUP($N76, ALLCAMPERS!$A$11:$A$311, ALLCAMPERS!K$11:K$311))</f>
        <v/>
      </c>
      <c r="Y76" s="4" t="str">
        <f>IF(LOOKUP($N76, ALLCAMPERS!$A$11:$A$311, ALLCAMPERS!L$11:L$311) = 0, "", LOOKUP($N76, ALLCAMPERS!$A$11:$A$311, ALLCAMPERS!L$11:L$311))</f>
        <v/>
      </c>
    </row>
    <row r="77" spans="1:25" x14ac:dyDescent="0.3">
      <c r="N77" s="4">
        <f t="shared" si="11"/>
        <v>1506</v>
      </c>
      <c r="O77" s="4">
        <f>LOOKUP(N77, ALLCAMPERS!$A$11:$A$311, ALLCAMPERS!$B$11:$B$311)</f>
        <v>15</v>
      </c>
      <c r="P77" s="4">
        <f>LOOKUP(N77, ALLCAMPERS!$A$11:$A$311, ALLCAMPERS!$C$11:$C$311)</f>
        <v>6</v>
      </c>
      <c r="Q77" s="4" t="str">
        <f>LOOKUP(N77, ALLCAMPERS!$A$11:$A$311, ALLCAMPERS!$D$11:$D$311)</f>
        <v>Jad</v>
      </c>
      <c r="R77" s="4" t="str">
        <f>LOOKUP(N77, ALLCAMPERS!$A$11:$A$311, ALLCAMPERS!$E$11:$E$311)</f>
        <v>IBRAHIM</v>
      </c>
      <c r="S77" s="4" t="str">
        <f>IF(LOOKUP($N77, ALLCAMPERS!$A$11:$A$311, ALLCAMPERS!F$11:F$311) = 0, "", LOOKUP($N77, ALLCAMPERS!$A$11:$A$311, ALLCAMPERS!F$11:F$311))</f>
        <v/>
      </c>
      <c r="T77" s="4">
        <f>IF(LOOKUP($N77, ALLCAMPERS!$A$11:$A$311, ALLCAMPERS!G$11:G$311) = 0, "", LOOKUP($N77, ALLCAMPERS!$A$11:$A$311, ALLCAMPERS!G$11:G$311))</f>
        <v>7</v>
      </c>
      <c r="U77" s="4">
        <f>IF(LOOKUP($N77, ALLCAMPERS!$A$11:$A$311, ALLCAMPERS!H$11:H$311) = 0, "", LOOKUP($N77, ALLCAMPERS!$A$11:$A$311, ALLCAMPERS!H$11:H$311))</f>
        <v>4</v>
      </c>
      <c r="V77" s="4">
        <f>IF(LOOKUP($N77, ALLCAMPERS!$A$11:$A$311, ALLCAMPERS!I$11:I$311) = 0, "", LOOKUP($N77, ALLCAMPERS!$A$11:$A$311, ALLCAMPERS!I$11:I$311))</f>
        <v>1</v>
      </c>
      <c r="W77" s="4">
        <f>IF(LOOKUP($N77, ALLCAMPERS!$A$11:$A$311, ALLCAMPERS!J$11:J$311) = 0, "", LOOKUP($N77, ALLCAMPERS!$A$11:$A$311, ALLCAMPERS!J$11:J$311))</f>
        <v>2</v>
      </c>
      <c r="X77" s="4" t="str">
        <f>IF(LOOKUP($N77, ALLCAMPERS!$A$11:$A$311, ALLCAMPERS!K$11:K$311) = 0, "", LOOKUP($N77, ALLCAMPERS!$A$11:$A$311, ALLCAMPERS!K$11:K$311))</f>
        <v/>
      </c>
      <c r="Y77" s="4" t="str">
        <f>IF(LOOKUP($N77, ALLCAMPERS!$A$11:$A$311, ALLCAMPERS!L$11:L$311) = 0, "", LOOKUP($N77, ALLCAMPERS!$A$11:$A$311, ALLCAMPERS!L$11:L$311))</f>
        <v/>
      </c>
    </row>
    <row r="78" spans="1:25" x14ac:dyDescent="0.3">
      <c r="N78" s="4">
        <f t="shared" si="11"/>
        <v>1507</v>
      </c>
      <c r="O78" s="4">
        <f>LOOKUP(N78, ALLCAMPERS!$A$11:$A$311, ALLCAMPERS!$B$11:$B$311)</f>
        <v>15</v>
      </c>
      <c r="P78" s="4">
        <f>LOOKUP(N78, ALLCAMPERS!$A$11:$A$311, ALLCAMPERS!$C$11:$C$311)</f>
        <v>7</v>
      </c>
      <c r="Q78" s="4" t="str">
        <f>LOOKUP(N78, ALLCAMPERS!$A$11:$A$311, ALLCAMPERS!$D$11:$D$311)</f>
        <v>Toni</v>
      </c>
      <c r="R78" s="4" t="str">
        <f>LOOKUP(N78, ALLCAMPERS!$A$11:$A$311, ALLCAMPERS!$E$11:$E$311)</f>
        <v>ALHAZIM</v>
      </c>
      <c r="S78" s="4" t="str">
        <f>IF(LOOKUP($N78, ALLCAMPERS!$A$11:$A$311, ALLCAMPERS!F$11:F$311) = 0, "", LOOKUP($N78, ALLCAMPERS!$A$11:$A$311, ALLCAMPERS!F$11:F$311))</f>
        <v/>
      </c>
      <c r="T78" s="4">
        <f>IF(LOOKUP($N78, ALLCAMPERS!$A$11:$A$311, ALLCAMPERS!G$11:G$311) = 0, "", LOOKUP($N78, ALLCAMPERS!$A$11:$A$311, ALLCAMPERS!G$11:G$311))</f>
        <v>1</v>
      </c>
      <c r="U78" s="4">
        <f>IF(LOOKUP($N78, ALLCAMPERS!$A$11:$A$311, ALLCAMPERS!H$11:H$311) = 0, "", LOOKUP($N78, ALLCAMPERS!$A$11:$A$311, ALLCAMPERS!H$11:H$311))</f>
        <v>2</v>
      </c>
      <c r="V78" s="4">
        <f>IF(LOOKUP($N78, ALLCAMPERS!$A$11:$A$311, ALLCAMPERS!I$11:I$311) = 0, "", LOOKUP($N78, ALLCAMPERS!$A$11:$A$311, ALLCAMPERS!I$11:I$311))</f>
        <v>5</v>
      </c>
      <c r="W78" s="4">
        <f>IF(LOOKUP($N78, ALLCAMPERS!$A$11:$A$311, ALLCAMPERS!J$11:J$311) = 0, "", LOOKUP($N78, ALLCAMPERS!$A$11:$A$311, ALLCAMPERS!J$11:J$311))</f>
        <v>5</v>
      </c>
      <c r="X78" s="4" t="str">
        <f>IF(LOOKUP($N78, ALLCAMPERS!$A$11:$A$311, ALLCAMPERS!K$11:K$311) = 0, "", LOOKUP($N78, ALLCAMPERS!$A$11:$A$311, ALLCAMPERS!K$11:K$311))</f>
        <v/>
      </c>
      <c r="Y78" s="4" t="str">
        <f>IF(LOOKUP($N78, ALLCAMPERS!$A$11:$A$311, ALLCAMPERS!L$11:L$311) = 0, "", LOOKUP($N78, ALLCAMPERS!$A$11:$A$311, ALLCAMPERS!L$11:L$311))</f>
        <v/>
      </c>
    </row>
    <row r="79" spans="1:25" x14ac:dyDescent="0.3">
      <c r="N79" s="4">
        <f t="shared" si="11"/>
        <v>1508</v>
      </c>
      <c r="O79" s="4">
        <f>LOOKUP(N79, ALLCAMPERS!$A$11:$A$311, ALLCAMPERS!$B$11:$B$311)</f>
        <v>15</v>
      </c>
      <c r="P79" s="4">
        <f>LOOKUP(N79, ALLCAMPERS!$A$11:$A$311, ALLCAMPERS!$C$11:$C$311)</f>
        <v>8</v>
      </c>
      <c r="Q79" s="4" t="str">
        <f>LOOKUP(N79, ALLCAMPERS!$A$11:$A$311, ALLCAMPERS!$D$11:$D$311)</f>
        <v>Philip</v>
      </c>
      <c r="R79" s="4" t="str">
        <f>LOOKUP(N79, ALLCAMPERS!$A$11:$A$311, ALLCAMPERS!$E$11:$E$311)</f>
        <v>BOULOS</v>
      </c>
      <c r="S79" s="4" t="str">
        <f>IF(LOOKUP($N79, ALLCAMPERS!$A$11:$A$311, ALLCAMPERS!F$11:F$311) = 0, "", LOOKUP($N79, ALLCAMPERS!$A$11:$A$311, ALLCAMPERS!F$11:F$311))</f>
        <v/>
      </c>
      <c r="T79" s="4">
        <f>IF(LOOKUP($N79, ALLCAMPERS!$A$11:$A$311, ALLCAMPERS!G$11:G$311) = 0, "", LOOKUP($N79, ALLCAMPERS!$A$11:$A$311, ALLCAMPERS!G$11:G$311))</f>
        <v>1</v>
      </c>
      <c r="U79" s="4">
        <f>IF(LOOKUP($N79, ALLCAMPERS!$A$11:$A$311, ALLCAMPERS!H$11:H$311) = 0, "", LOOKUP($N79, ALLCAMPERS!$A$11:$A$311, ALLCAMPERS!H$11:H$311))</f>
        <v>6</v>
      </c>
      <c r="V79" s="4">
        <f>IF(LOOKUP($N79, ALLCAMPERS!$A$11:$A$311, ALLCAMPERS!I$11:I$311) = 0, "", LOOKUP($N79, ALLCAMPERS!$A$11:$A$311, ALLCAMPERS!I$11:I$311))</f>
        <v>7</v>
      </c>
      <c r="W79" s="4">
        <f>IF(LOOKUP($N79, ALLCAMPERS!$A$11:$A$311, ALLCAMPERS!J$11:J$311) = 0, "", LOOKUP($N79, ALLCAMPERS!$A$11:$A$311, ALLCAMPERS!J$11:J$311))</f>
        <v>1</v>
      </c>
      <c r="X79" s="4" t="str">
        <f>IF(LOOKUP($N79, ALLCAMPERS!$A$11:$A$311, ALLCAMPERS!K$11:K$311) = 0, "", LOOKUP($N79, ALLCAMPERS!$A$11:$A$311, ALLCAMPERS!K$11:K$311))</f>
        <v/>
      </c>
      <c r="Y79" s="4" t="str">
        <f>IF(LOOKUP($N79, ALLCAMPERS!$A$11:$A$311, ALLCAMPERS!L$11:L$311) = 0, "", LOOKUP($N79, ALLCAMPERS!$A$11:$A$311, ALLCAMPERS!L$11:L$311))</f>
        <v/>
      </c>
    </row>
    <row r="80" spans="1:25" x14ac:dyDescent="0.3">
      <c r="N80" s="4">
        <f t="shared" si="11"/>
        <v>1509</v>
      </c>
      <c r="O80" s="4">
        <f>LOOKUP(N80, ALLCAMPERS!$A$11:$A$311, ALLCAMPERS!$B$11:$B$311)</f>
        <v>15</v>
      </c>
      <c r="P80" s="4">
        <f>LOOKUP(N80, ALLCAMPERS!$A$11:$A$311, ALLCAMPERS!$C$11:$C$311)</f>
        <v>9</v>
      </c>
      <c r="Q80" s="4" t="str">
        <f>LOOKUP(N80, ALLCAMPERS!$A$11:$A$311, ALLCAMPERS!$D$11:$D$311)</f>
        <v>Nicholas</v>
      </c>
      <c r="R80" s="4" t="str">
        <f>LOOKUP(N80, ALLCAMPERS!$A$11:$A$311, ALLCAMPERS!$E$11:$E$311)</f>
        <v>DAOUD</v>
      </c>
      <c r="S80" s="4" t="str">
        <f>IF(LOOKUP($N80, ALLCAMPERS!$A$11:$A$311, ALLCAMPERS!F$11:F$311) = 0, "", LOOKUP($N80, ALLCAMPERS!$A$11:$A$311, ALLCAMPERS!F$11:F$311))</f>
        <v/>
      </c>
      <c r="T80" s="4">
        <f>IF(LOOKUP($N80, ALLCAMPERS!$A$11:$A$311, ALLCAMPERS!G$11:G$311) = 0, "", LOOKUP($N80, ALLCAMPERS!$A$11:$A$311, ALLCAMPERS!G$11:G$311))</f>
        <v>3</v>
      </c>
      <c r="U80" s="4">
        <f>IF(LOOKUP($N80, ALLCAMPERS!$A$11:$A$311, ALLCAMPERS!H$11:H$311) = 0, "", LOOKUP($N80, ALLCAMPERS!$A$11:$A$311, ALLCAMPERS!H$11:H$311))</f>
        <v>4</v>
      </c>
      <c r="V80" s="4">
        <f>IF(LOOKUP($N80, ALLCAMPERS!$A$11:$A$311, ALLCAMPERS!I$11:I$311) = 0, "", LOOKUP($N80, ALLCAMPERS!$A$11:$A$311, ALLCAMPERS!I$11:I$311))</f>
        <v>3</v>
      </c>
      <c r="W80" s="4">
        <f>IF(LOOKUP($N80, ALLCAMPERS!$A$11:$A$311, ALLCAMPERS!J$11:J$311) = 0, "", LOOKUP($N80, ALLCAMPERS!$A$11:$A$311, ALLCAMPERS!J$11:J$311))</f>
        <v>3</v>
      </c>
      <c r="X80" s="4" t="str">
        <f>IF(LOOKUP($N80, ALLCAMPERS!$A$11:$A$311, ALLCAMPERS!K$11:K$311) = 0, "", LOOKUP($N80, ALLCAMPERS!$A$11:$A$311, ALLCAMPERS!K$11:K$311))</f>
        <v/>
      </c>
      <c r="Y80" s="4" t="str">
        <f>IF(LOOKUP($N80, ALLCAMPERS!$A$11:$A$311, ALLCAMPERS!L$11:L$311) = 0, "", LOOKUP($N80, ALLCAMPERS!$A$11:$A$311, ALLCAMPERS!L$11:L$311))</f>
        <v/>
      </c>
    </row>
    <row r="89" spans="1:25" ht="28.8" x14ac:dyDescent="0.3">
      <c r="A89" s="16" t="s">
        <v>0</v>
      </c>
      <c r="B89" s="16" t="s">
        <v>1</v>
      </c>
      <c r="C89" s="16" t="s">
        <v>76</v>
      </c>
      <c r="D89" s="16" t="s">
        <v>2</v>
      </c>
      <c r="E89" s="16" t="s">
        <v>3</v>
      </c>
      <c r="F89" s="16" t="s">
        <v>16</v>
      </c>
      <c r="G89" s="16" t="s">
        <v>311</v>
      </c>
      <c r="H89" s="16" t="s">
        <v>312</v>
      </c>
      <c r="I89" s="16" t="s">
        <v>313</v>
      </c>
      <c r="J89" s="16" t="s">
        <v>314</v>
      </c>
      <c r="K89" s="16" t="s">
        <v>87</v>
      </c>
      <c r="L89" s="16" t="s">
        <v>88</v>
      </c>
      <c r="M89" s="16"/>
      <c r="N89" s="16" t="s">
        <v>0</v>
      </c>
      <c r="O89" s="16" t="s">
        <v>1</v>
      </c>
      <c r="P89" s="16" t="s">
        <v>76</v>
      </c>
      <c r="Q89" s="16" t="s">
        <v>2</v>
      </c>
      <c r="R89" s="16" t="s">
        <v>3</v>
      </c>
      <c r="S89" s="16" t="s">
        <v>16</v>
      </c>
      <c r="T89" s="16" t="s">
        <v>311</v>
      </c>
      <c r="U89" s="16" t="s">
        <v>312</v>
      </c>
      <c r="V89" s="16" t="s">
        <v>313</v>
      </c>
      <c r="W89" s="16" t="s">
        <v>314</v>
      </c>
      <c r="X89" s="16" t="s">
        <v>87</v>
      </c>
      <c r="Y89" s="16" t="s">
        <v>88</v>
      </c>
    </row>
    <row r="90" spans="1:25" x14ac:dyDescent="0.3">
      <c r="A90" s="4">
        <v>601</v>
      </c>
      <c r="B90" s="4">
        <f>LOOKUP(A90, ALLCAMPERS!$A$11:$A$311, ALLCAMPERS!$B$11:$B$311)</f>
        <v>6</v>
      </c>
      <c r="C90" s="4">
        <f>LOOKUP(A90, ALLCAMPERS!$A$11:$A$311, ALLCAMPERS!$C$11:$C$311)</f>
        <v>1</v>
      </c>
      <c r="D90" s="4" t="str">
        <f>LOOKUP(A90, ALLCAMPERS!$A$11:$A$311, ALLCAMPERS!$D$11:$D$311)</f>
        <v>Angela</v>
      </c>
      <c r="E90" s="4" t="str">
        <f>LOOKUP(A90, ALLCAMPERS!$A$11:$A$311, ALLCAMPERS!$E$11:$E$311)</f>
        <v>AZAKIE</v>
      </c>
      <c r="F90" s="4" t="str">
        <f>IF(LOOKUP($A90, ALLCAMPERS!$A$11:$A$311, ALLCAMPERS!F$11:F$311) = 0, "", LOOKUP($A90, ALLCAMPERS!$A$11:$A$311, ALLCAMPERS!F$11:F$311))</f>
        <v/>
      </c>
      <c r="G90" s="4">
        <f>IF(LOOKUP($A90, ALLCAMPERS!$A$11:$A$311, ALLCAMPERS!G$11:G$311) = 0, "", LOOKUP($A90, ALLCAMPERS!$A$11:$A$311, ALLCAMPERS!G$11:G$311))</f>
        <v>3</v>
      </c>
      <c r="H90" s="4">
        <f>IF(LOOKUP($A90, ALLCAMPERS!$A$11:$A$311, ALLCAMPERS!H$11:H$311) = 0, "", LOOKUP($A90, ALLCAMPERS!$A$11:$A$311, ALLCAMPERS!H$11:H$311))</f>
        <v>7</v>
      </c>
      <c r="I90" s="4">
        <f>IF(LOOKUP($A90, ALLCAMPERS!$A$11:$A$311, ALLCAMPERS!I$11:I$311) = 0, "", LOOKUP($A90, ALLCAMPERS!$A$11:$A$311, ALLCAMPERS!I$11:I$311))</f>
        <v>3</v>
      </c>
      <c r="J90" s="4">
        <f>IF(LOOKUP($A90, ALLCAMPERS!$A$11:$A$311, ALLCAMPERS!J$11:J$311) = 0, "", LOOKUP($A90, ALLCAMPERS!$A$11:$A$311, ALLCAMPERS!J$11:J$311))</f>
        <v>3</v>
      </c>
      <c r="K90" s="4" t="str">
        <f>IF(LOOKUP($A90, ALLCAMPERS!$A$11:$A$311, ALLCAMPERS!K$11:K$311) = 0, "", LOOKUP($A90, ALLCAMPERS!$A$11:$A$311, ALLCAMPERS!K$11:K$311))</f>
        <v/>
      </c>
      <c r="L90" s="4" t="str">
        <f>IF(LOOKUP($A90, ALLCAMPERS!$A$11:$A$311, ALLCAMPERS!L$11:L$311) = 0, "", LOOKUP($A90, ALLCAMPERS!$A$11:$A$311, ALLCAMPERS!L$11:L$311))</f>
        <v/>
      </c>
      <c r="N90" s="4">
        <f>A90+1000</f>
        <v>1601</v>
      </c>
      <c r="O90" s="4">
        <f>LOOKUP(N90, ALLCAMPERS!$A$11:$A$311, ALLCAMPERS!$B$11:$B$311)</f>
        <v>16</v>
      </c>
      <c r="P90" s="4">
        <f>LOOKUP(N90, ALLCAMPERS!$A$11:$A$311, ALLCAMPERS!$C$11:$C$311)</f>
        <v>1</v>
      </c>
      <c r="Q90" s="4" t="str">
        <f>LOOKUP(N90, ALLCAMPERS!$A$11:$A$311, ALLCAMPERS!$D$11:$D$311)</f>
        <v>Thomas</v>
      </c>
      <c r="R90" s="4" t="str">
        <f>LOOKUP(N90, ALLCAMPERS!$A$11:$A$311, ALLCAMPERS!$E$11:$E$311)</f>
        <v>WEHBI</v>
      </c>
      <c r="S90" s="4" t="str">
        <f>IF(LOOKUP($N90, ALLCAMPERS!$A$11:$A$311, ALLCAMPERS!F$11:F$311) = 0, "", LOOKUP($N90, ALLCAMPERS!$A$11:$A$311, ALLCAMPERS!F$11:F$311))</f>
        <v/>
      </c>
      <c r="T90" s="4">
        <f>IF(LOOKUP($N90, ALLCAMPERS!$A$11:$A$311, ALLCAMPERS!G$11:G$311) = 0, "", LOOKUP($N90, ALLCAMPERS!$A$11:$A$311, ALLCAMPERS!G$11:G$311))</f>
        <v>3</v>
      </c>
      <c r="U90" s="4">
        <f>IF(LOOKUP($N90, ALLCAMPERS!$A$11:$A$311, ALLCAMPERS!H$11:H$311) = 0, "", LOOKUP($N90, ALLCAMPERS!$A$11:$A$311, ALLCAMPERS!H$11:H$311))</f>
        <v>2</v>
      </c>
      <c r="V90" s="4">
        <f>IF(LOOKUP($N90, ALLCAMPERS!$A$11:$A$311, ALLCAMPERS!I$11:I$311) = 0, "", LOOKUP($N90, ALLCAMPERS!$A$11:$A$311, ALLCAMPERS!I$11:I$311))</f>
        <v>2</v>
      </c>
      <c r="W90" s="4">
        <f>IF(LOOKUP($N90, ALLCAMPERS!$A$11:$A$311, ALLCAMPERS!J$11:J$311) = 0, "", LOOKUP($N90, ALLCAMPERS!$A$11:$A$311, ALLCAMPERS!J$11:J$311))</f>
        <v>1</v>
      </c>
      <c r="X90" s="4" t="str">
        <f>IF(LOOKUP($N90, ALLCAMPERS!$A$11:$A$311, ALLCAMPERS!K$11:K$311) = 0, "", LOOKUP($N90, ALLCAMPERS!$A$11:$A$311, ALLCAMPERS!K$11:K$311))</f>
        <v/>
      </c>
      <c r="Y90" s="4" t="str">
        <f>IF(LOOKUP($N90, ALLCAMPERS!$A$11:$A$311, ALLCAMPERS!L$11:L$311) = 0, "", LOOKUP($N90, ALLCAMPERS!$A$11:$A$311, ALLCAMPERS!L$11:L$311))</f>
        <v/>
      </c>
    </row>
    <row r="91" spans="1:25" x14ac:dyDescent="0.3">
      <c r="A91" s="4">
        <f>A90+1</f>
        <v>602</v>
      </c>
      <c r="B91" s="4">
        <f>LOOKUP(A91, ALLCAMPERS!$A$11:$A$311, ALLCAMPERS!$B$11:$B$311)</f>
        <v>6</v>
      </c>
      <c r="C91" s="4">
        <f>LOOKUP(A91, ALLCAMPERS!$A$11:$A$311, ALLCAMPERS!$C$11:$C$311)</f>
        <v>2</v>
      </c>
      <c r="D91" s="4" t="str">
        <f>LOOKUP(A91, ALLCAMPERS!$A$11:$A$311, ALLCAMPERS!$D$11:$D$311)</f>
        <v>Gabrielle</v>
      </c>
      <c r="E91" s="4" t="str">
        <f>LOOKUP(A91, ALLCAMPERS!$A$11:$A$311, ALLCAMPERS!$E$11:$E$311)</f>
        <v>STEPHAN</v>
      </c>
      <c r="F91" s="4" t="str">
        <f>IF(LOOKUP($A91, ALLCAMPERS!$A$11:$A$311, ALLCAMPERS!F$11:F$311) = 0, "", LOOKUP($A91, ALLCAMPERS!$A$11:$A$311, ALLCAMPERS!F$11:F$311))</f>
        <v/>
      </c>
      <c r="G91" s="4">
        <f>IF(LOOKUP($A91, ALLCAMPERS!$A$11:$A$311, ALLCAMPERS!G$11:G$311) = 0, "", LOOKUP($A91, ALLCAMPERS!$A$11:$A$311, ALLCAMPERS!G$11:G$311))</f>
        <v>4</v>
      </c>
      <c r="H91" s="4">
        <f>IF(LOOKUP($A91, ALLCAMPERS!$A$11:$A$311, ALLCAMPERS!H$11:H$311) = 0, "", LOOKUP($A91, ALLCAMPERS!$A$11:$A$311, ALLCAMPERS!H$11:H$311))</f>
        <v>6</v>
      </c>
      <c r="I91" s="4">
        <f>IF(LOOKUP($A91, ALLCAMPERS!$A$11:$A$311, ALLCAMPERS!I$11:I$311) = 0, "", LOOKUP($A91, ALLCAMPERS!$A$11:$A$311, ALLCAMPERS!I$11:I$311))</f>
        <v>7</v>
      </c>
      <c r="J91" s="4">
        <f>IF(LOOKUP($A91, ALLCAMPERS!$A$11:$A$311, ALLCAMPERS!J$11:J$311) = 0, "", LOOKUP($A91, ALLCAMPERS!$A$11:$A$311, ALLCAMPERS!J$11:J$311))</f>
        <v>3</v>
      </c>
      <c r="K91" s="4" t="str">
        <f>IF(LOOKUP($A91, ALLCAMPERS!$A$11:$A$311, ALLCAMPERS!K$11:K$311) = 0, "", LOOKUP($A91, ALLCAMPERS!$A$11:$A$311, ALLCAMPERS!K$11:K$311))</f>
        <v/>
      </c>
      <c r="L91" s="4" t="str">
        <f>IF(LOOKUP($A91, ALLCAMPERS!$A$11:$A$311, ALLCAMPERS!L$11:L$311) = 0, "", LOOKUP($A91, ALLCAMPERS!$A$11:$A$311, ALLCAMPERS!L$11:L$311))</f>
        <v/>
      </c>
      <c r="N91" s="4">
        <f>N90+1</f>
        <v>1602</v>
      </c>
      <c r="O91" s="4">
        <f>LOOKUP(N91, ALLCAMPERS!$A$11:$A$311, ALLCAMPERS!$B$11:$B$311)</f>
        <v>16</v>
      </c>
      <c r="P91" s="4">
        <f>LOOKUP(N91, ALLCAMPERS!$A$11:$A$311, ALLCAMPERS!$C$11:$C$311)</f>
        <v>2</v>
      </c>
      <c r="Q91" s="4" t="str">
        <f>LOOKUP(N91, ALLCAMPERS!$A$11:$A$311, ALLCAMPERS!$D$11:$D$311)</f>
        <v>Ibrahim</v>
      </c>
      <c r="R91" s="4" t="str">
        <f>LOOKUP(N91, ALLCAMPERS!$A$11:$A$311, ALLCAMPERS!$E$11:$E$311)</f>
        <v>REZK</v>
      </c>
      <c r="S91" s="4" t="str">
        <f>IF(LOOKUP($N91, ALLCAMPERS!$A$11:$A$311, ALLCAMPERS!F$11:F$311) = 0, "", LOOKUP($N91, ALLCAMPERS!$A$11:$A$311, ALLCAMPERS!F$11:F$311))</f>
        <v/>
      </c>
      <c r="T91" s="4">
        <f>IF(LOOKUP($N91, ALLCAMPERS!$A$11:$A$311, ALLCAMPERS!G$11:G$311) = 0, "", LOOKUP($N91, ALLCAMPERS!$A$11:$A$311, ALLCAMPERS!G$11:G$311))</f>
        <v>6</v>
      </c>
      <c r="U91" s="4">
        <f>IF(LOOKUP($N91, ALLCAMPERS!$A$11:$A$311, ALLCAMPERS!H$11:H$311) = 0, "", LOOKUP($N91, ALLCAMPERS!$A$11:$A$311, ALLCAMPERS!H$11:H$311))</f>
        <v>5</v>
      </c>
      <c r="V91" s="4">
        <f>IF(LOOKUP($N91, ALLCAMPERS!$A$11:$A$311, ALLCAMPERS!I$11:I$311) = 0, "", LOOKUP($N91, ALLCAMPERS!$A$11:$A$311, ALLCAMPERS!I$11:I$311))</f>
        <v>7</v>
      </c>
      <c r="W91" s="4">
        <f>IF(LOOKUP($N91, ALLCAMPERS!$A$11:$A$311, ALLCAMPERS!J$11:J$311) = 0, "", LOOKUP($N91, ALLCAMPERS!$A$11:$A$311, ALLCAMPERS!J$11:J$311))</f>
        <v>4</v>
      </c>
      <c r="X91" s="4" t="str">
        <f>IF(LOOKUP($N91, ALLCAMPERS!$A$11:$A$311, ALLCAMPERS!K$11:K$311) = 0, "", LOOKUP($N91, ALLCAMPERS!$A$11:$A$311, ALLCAMPERS!K$11:K$311))</f>
        <v/>
      </c>
      <c r="Y91" s="4" t="str">
        <f>IF(LOOKUP($N91, ALLCAMPERS!$A$11:$A$311, ALLCAMPERS!L$11:L$311) = 0, "", LOOKUP($N91, ALLCAMPERS!$A$11:$A$311, ALLCAMPERS!L$11:L$311))</f>
        <v/>
      </c>
    </row>
    <row r="92" spans="1:25" x14ac:dyDescent="0.3">
      <c r="A92" s="4">
        <f t="shared" ref="A92:A94" si="12">A91+1</f>
        <v>603</v>
      </c>
      <c r="B92" s="4">
        <f>LOOKUP(A92, ALLCAMPERS!$A$11:$A$311, ALLCAMPERS!$B$11:$B$311)</f>
        <v>6</v>
      </c>
      <c r="C92" s="4">
        <f>LOOKUP(A92, ALLCAMPERS!$A$11:$A$311, ALLCAMPERS!$C$11:$C$311)</f>
        <v>3</v>
      </c>
      <c r="D92" s="4" t="str">
        <f>LOOKUP(A92, ALLCAMPERS!$A$11:$A$311, ALLCAMPERS!$D$11:$D$311)</f>
        <v>Maya</v>
      </c>
      <c r="E92" s="4" t="str">
        <f>LOOKUP(A92, ALLCAMPERS!$A$11:$A$311, ALLCAMPERS!$E$11:$E$311)</f>
        <v>SOULAHIAN</v>
      </c>
      <c r="F92" s="4" t="str">
        <f>IF(LOOKUP($A92, ALLCAMPERS!$A$11:$A$311, ALLCAMPERS!F$11:F$311) = 0, "", LOOKUP($A92, ALLCAMPERS!$A$11:$A$311, ALLCAMPERS!F$11:F$311))</f>
        <v/>
      </c>
      <c r="G92" s="4">
        <f>IF(LOOKUP($A92, ALLCAMPERS!$A$11:$A$311, ALLCAMPERS!G$11:G$311) = 0, "", LOOKUP($A92, ALLCAMPERS!$A$11:$A$311, ALLCAMPERS!G$11:G$311))</f>
        <v>5</v>
      </c>
      <c r="H92" s="4">
        <f>IF(LOOKUP($A92, ALLCAMPERS!$A$11:$A$311, ALLCAMPERS!H$11:H$311) = 0, "", LOOKUP($A92, ALLCAMPERS!$A$11:$A$311, ALLCAMPERS!H$11:H$311))</f>
        <v>6</v>
      </c>
      <c r="I92" s="4">
        <f>IF(LOOKUP($A92, ALLCAMPERS!$A$11:$A$311, ALLCAMPERS!I$11:I$311) = 0, "", LOOKUP($A92, ALLCAMPERS!$A$11:$A$311, ALLCAMPERS!I$11:I$311))</f>
        <v>5</v>
      </c>
      <c r="J92" s="4">
        <f>IF(LOOKUP($A92, ALLCAMPERS!$A$11:$A$311, ALLCAMPERS!J$11:J$311) = 0, "", LOOKUP($A92, ALLCAMPERS!$A$11:$A$311, ALLCAMPERS!J$11:J$311))</f>
        <v>3</v>
      </c>
      <c r="K92" s="4" t="str">
        <f>IF(LOOKUP($A92, ALLCAMPERS!$A$11:$A$311, ALLCAMPERS!K$11:K$311) = 0, "", LOOKUP($A92, ALLCAMPERS!$A$11:$A$311, ALLCAMPERS!K$11:K$311))</f>
        <v/>
      </c>
      <c r="L92" s="4" t="str">
        <f>IF(LOOKUP($A92, ALLCAMPERS!$A$11:$A$311, ALLCAMPERS!L$11:L$311) = 0, "", LOOKUP($A92, ALLCAMPERS!$A$11:$A$311, ALLCAMPERS!L$11:L$311))</f>
        <v/>
      </c>
      <c r="N92" s="4">
        <f t="shared" ref="N92:N98" si="13">N91+1</f>
        <v>1603</v>
      </c>
      <c r="O92" s="4">
        <f>LOOKUP(N92, ALLCAMPERS!$A$11:$A$311, ALLCAMPERS!$B$11:$B$311)</f>
        <v>16</v>
      </c>
      <c r="P92" s="4">
        <f>LOOKUP(N92, ALLCAMPERS!$A$11:$A$311, ALLCAMPERS!$C$11:$C$311)</f>
        <v>3</v>
      </c>
      <c r="Q92" s="4" t="str">
        <f>LOOKUP(N92, ALLCAMPERS!$A$11:$A$311, ALLCAMPERS!$D$11:$D$311)</f>
        <v>Serge</v>
      </c>
      <c r="R92" s="4" t="str">
        <f>LOOKUP(N92, ALLCAMPERS!$A$11:$A$311, ALLCAMPERS!$E$11:$E$311)</f>
        <v>ALLAHAM</v>
      </c>
      <c r="S92" s="4" t="str">
        <f>IF(LOOKUP($N92, ALLCAMPERS!$A$11:$A$311, ALLCAMPERS!F$11:F$311) = 0, "", LOOKUP($N92, ALLCAMPERS!$A$11:$A$311, ALLCAMPERS!F$11:F$311))</f>
        <v/>
      </c>
      <c r="T92" s="4">
        <f>IF(LOOKUP($N92, ALLCAMPERS!$A$11:$A$311, ALLCAMPERS!G$11:G$311) = 0, "", LOOKUP($N92, ALLCAMPERS!$A$11:$A$311, ALLCAMPERS!G$11:G$311))</f>
        <v>1</v>
      </c>
      <c r="U92" s="4">
        <f>IF(LOOKUP($N92, ALLCAMPERS!$A$11:$A$311, ALLCAMPERS!H$11:H$311) = 0, "", LOOKUP($N92, ALLCAMPERS!$A$11:$A$311, ALLCAMPERS!H$11:H$311))</f>
        <v>3</v>
      </c>
      <c r="V92" s="4">
        <f>IF(LOOKUP($N92, ALLCAMPERS!$A$11:$A$311, ALLCAMPERS!I$11:I$311) = 0, "", LOOKUP($N92, ALLCAMPERS!$A$11:$A$311, ALLCAMPERS!I$11:I$311))</f>
        <v>2</v>
      </c>
      <c r="W92" s="4">
        <f>IF(LOOKUP($N92, ALLCAMPERS!$A$11:$A$311, ALLCAMPERS!J$11:J$311) = 0, "", LOOKUP($N92, ALLCAMPERS!$A$11:$A$311, ALLCAMPERS!J$11:J$311))</f>
        <v>2</v>
      </c>
      <c r="X92" s="4" t="str">
        <f>IF(LOOKUP($N92, ALLCAMPERS!$A$11:$A$311, ALLCAMPERS!K$11:K$311) = 0, "", LOOKUP($N92, ALLCAMPERS!$A$11:$A$311, ALLCAMPERS!K$11:K$311))</f>
        <v/>
      </c>
      <c r="Y92" s="4" t="str">
        <f>IF(LOOKUP($N92, ALLCAMPERS!$A$11:$A$311, ALLCAMPERS!L$11:L$311) = 0, "", LOOKUP($N92, ALLCAMPERS!$A$11:$A$311, ALLCAMPERS!L$11:L$311))</f>
        <v/>
      </c>
    </row>
    <row r="93" spans="1:25" x14ac:dyDescent="0.3">
      <c r="A93" s="4">
        <f t="shared" si="12"/>
        <v>604</v>
      </c>
      <c r="B93" s="4">
        <f>LOOKUP(A93, ALLCAMPERS!$A$11:$A$311, ALLCAMPERS!$B$11:$B$311)</f>
        <v>6</v>
      </c>
      <c r="C93" s="4">
        <f>LOOKUP(A93, ALLCAMPERS!$A$11:$A$311, ALLCAMPERS!$C$11:$C$311)</f>
        <v>4</v>
      </c>
      <c r="D93" s="4" t="str">
        <f>LOOKUP(A93, ALLCAMPERS!$A$11:$A$311, ALLCAMPERS!$D$11:$D$311)</f>
        <v>Mia</v>
      </c>
      <c r="E93" s="4" t="str">
        <f>LOOKUP(A93, ALLCAMPERS!$A$11:$A$311, ALLCAMPERS!$E$11:$E$311)</f>
        <v>MELKI</v>
      </c>
      <c r="F93" s="4" t="str">
        <f>IF(LOOKUP($A93, ALLCAMPERS!$A$11:$A$311, ALLCAMPERS!F$11:F$311) = 0, "", LOOKUP($A93, ALLCAMPERS!$A$11:$A$311, ALLCAMPERS!F$11:F$311))</f>
        <v/>
      </c>
      <c r="G93" s="4">
        <f>IF(LOOKUP($A93, ALLCAMPERS!$A$11:$A$311, ALLCAMPERS!G$11:G$311) = 0, "", LOOKUP($A93, ALLCAMPERS!$A$11:$A$311, ALLCAMPERS!G$11:G$311))</f>
        <v>5</v>
      </c>
      <c r="H93" s="4">
        <f>IF(LOOKUP($A93, ALLCAMPERS!$A$11:$A$311, ALLCAMPERS!H$11:H$311) = 0, "", LOOKUP($A93, ALLCAMPERS!$A$11:$A$311, ALLCAMPERS!H$11:H$311))</f>
        <v>2</v>
      </c>
      <c r="I93" s="4">
        <f>IF(LOOKUP($A93, ALLCAMPERS!$A$11:$A$311, ALLCAMPERS!I$11:I$311) = 0, "", LOOKUP($A93, ALLCAMPERS!$A$11:$A$311, ALLCAMPERS!I$11:I$311))</f>
        <v>1</v>
      </c>
      <c r="J93" s="4">
        <f>IF(LOOKUP($A93, ALLCAMPERS!$A$11:$A$311, ALLCAMPERS!J$11:J$311) = 0, "", LOOKUP($A93, ALLCAMPERS!$A$11:$A$311, ALLCAMPERS!J$11:J$311))</f>
        <v>6</v>
      </c>
      <c r="K93" s="4" t="str">
        <f>IF(LOOKUP($A93, ALLCAMPERS!$A$11:$A$311, ALLCAMPERS!K$11:K$311) = 0, "", LOOKUP($A93, ALLCAMPERS!$A$11:$A$311, ALLCAMPERS!K$11:K$311))</f>
        <v/>
      </c>
      <c r="L93" s="4" t="str">
        <f>IF(LOOKUP($A93, ALLCAMPERS!$A$11:$A$311, ALLCAMPERS!L$11:L$311) = 0, "", LOOKUP($A93, ALLCAMPERS!$A$11:$A$311, ALLCAMPERS!L$11:L$311))</f>
        <v/>
      </c>
      <c r="N93" s="4">
        <f t="shared" si="13"/>
        <v>1604</v>
      </c>
      <c r="O93" s="4">
        <f>LOOKUP(N93, ALLCAMPERS!$A$11:$A$311, ALLCAMPERS!$B$11:$B$311)</f>
        <v>16</v>
      </c>
      <c r="P93" s="4">
        <f>LOOKUP(N93, ALLCAMPERS!$A$11:$A$311, ALLCAMPERS!$C$11:$C$311)</f>
        <v>4</v>
      </c>
      <c r="Q93" s="4" t="str">
        <f>LOOKUP(N93, ALLCAMPERS!$A$11:$A$311, ALLCAMPERS!$D$11:$D$311)</f>
        <v>Bier</v>
      </c>
      <c r="R93" s="4" t="str">
        <f>LOOKUP(N93, ALLCAMPERS!$A$11:$A$311, ALLCAMPERS!$E$11:$E$311)</f>
        <v>AL DAKHLLAH</v>
      </c>
      <c r="S93" s="4" t="str">
        <f>IF(LOOKUP($N93, ALLCAMPERS!$A$11:$A$311, ALLCAMPERS!F$11:F$311) = 0, "", LOOKUP($N93, ALLCAMPERS!$A$11:$A$311, ALLCAMPERS!F$11:F$311))</f>
        <v/>
      </c>
      <c r="T93" s="4">
        <f>IF(LOOKUP($N93, ALLCAMPERS!$A$11:$A$311, ALLCAMPERS!G$11:G$311) = 0, "", LOOKUP($N93, ALLCAMPERS!$A$11:$A$311, ALLCAMPERS!G$11:G$311))</f>
        <v>7</v>
      </c>
      <c r="U93" s="4">
        <f>IF(LOOKUP($N93, ALLCAMPERS!$A$11:$A$311, ALLCAMPERS!H$11:H$311) = 0, "", LOOKUP($N93, ALLCAMPERS!$A$11:$A$311, ALLCAMPERS!H$11:H$311))</f>
        <v>1</v>
      </c>
      <c r="V93" s="4">
        <f>IF(LOOKUP($N93, ALLCAMPERS!$A$11:$A$311, ALLCAMPERS!I$11:I$311) = 0, "", LOOKUP($N93, ALLCAMPERS!$A$11:$A$311, ALLCAMPERS!I$11:I$311))</f>
        <v>4</v>
      </c>
      <c r="W93" s="4">
        <f>IF(LOOKUP($N93, ALLCAMPERS!$A$11:$A$311, ALLCAMPERS!J$11:J$311) = 0, "", LOOKUP($N93, ALLCAMPERS!$A$11:$A$311, ALLCAMPERS!J$11:J$311))</f>
        <v>3</v>
      </c>
      <c r="X93" s="4" t="str">
        <f>IF(LOOKUP($N93, ALLCAMPERS!$A$11:$A$311, ALLCAMPERS!K$11:K$311) = 0, "", LOOKUP($N93, ALLCAMPERS!$A$11:$A$311, ALLCAMPERS!K$11:K$311))</f>
        <v/>
      </c>
      <c r="Y93" s="4" t="str">
        <f>IF(LOOKUP($N93, ALLCAMPERS!$A$11:$A$311, ALLCAMPERS!L$11:L$311) = 0, "", LOOKUP($N93, ALLCAMPERS!$A$11:$A$311, ALLCAMPERS!L$11:L$311))</f>
        <v/>
      </c>
    </row>
    <row r="94" spans="1:25" x14ac:dyDescent="0.3">
      <c r="A94" s="4">
        <f t="shared" si="12"/>
        <v>605</v>
      </c>
      <c r="B94" s="4">
        <f>LOOKUP(A94, ALLCAMPERS!$A$11:$A$311, ALLCAMPERS!$B$11:$B$311)</f>
        <v>6</v>
      </c>
      <c r="C94" s="4">
        <f>LOOKUP(A94, ALLCAMPERS!$A$11:$A$311, ALLCAMPERS!$C$11:$C$311)</f>
        <v>5</v>
      </c>
      <c r="D94" s="4" t="str">
        <f>LOOKUP(A94, ALLCAMPERS!$A$11:$A$311, ALLCAMPERS!$D$11:$D$311)</f>
        <v>Mira</v>
      </c>
      <c r="E94" s="4" t="str">
        <f>LOOKUP(A94, ALLCAMPERS!$A$11:$A$311, ALLCAMPERS!$E$11:$E$311)</f>
        <v>LAHAM</v>
      </c>
      <c r="F94" s="4" t="str">
        <f>IF(LOOKUP($A94, ALLCAMPERS!$A$11:$A$311, ALLCAMPERS!F$11:F$311) = 0, "", LOOKUP($A94, ALLCAMPERS!$A$11:$A$311, ALLCAMPERS!F$11:F$311))</f>
        <v/>
      </c>
      <c r="G94" s="4">
        <f>IF(LOOKUP($A94, ALLCAMPERS!$A$11:$A$311, ALLCAMPERS!G$11:G$311) = 0, "", LOOKUP($A94, ALLCAMPERS!$A$11:$A$311, ALLCAMPERS!G$11:G$311))</f>
        <v>4</v>
      </c>
      <c r="H94" s="4">
        <f>IF(LOOKUP($A94, ALLCAMPERS!$A$11:$A$311, ALLCAMPERS!H$11:H$311) = 0, "", LOOKUP($A94, ALLCAMPERS!$A$11:$A$311, ALLCAMPERS!H$11:H$311))</f>
        <v>1</v>
      </c>
      <c r="I94" s="4">
        <f>IF(LOOKUP($A94, ALLCAMPERS!$A$11:$A$311, ALLCAMPERS!I$11:I$311) = 0, "", LOOKUP($A94, ALLCAMPERS!$A$11:$A$311, ALLCAMPERS!I$11:I$311))</f>
        <v>4</v>
      </c>
      <c r="J94" s="4">
        <f>IF(LOOKUP($A94, ALLCAMPERS!$A$11:$A$311, ALLCAMPERS!J$11:J$311) = 0, "", LOOKUP($A94, ALLCAMPERS!$A$11:$A$311, ALLCAMPERS!J$11:J$311))</f>
        <v>6</v>
      </c>
      <c r="K94" s="4" t="str">
        <f>IF(LOOKUP($A94, ALLCAMPERS!$A$11:$A$311, ALLCAMPERS!K$11:K$311) = 0, "", LOOKUP($A94, ALLCAMPERS!$A$11:$A$311, ALLCAMPERS!K$11:K$311))</f>
        <v/>
      </c>
      <c r="L94" s="4" t="str">
        <f>IF(LOOKUP($A94, ALLCAMPERS!$A$11:$A$311, ALLCAMPERS!L$11:L$311) = 0, "", LOOKUP($A94, ALLCAMPERS!$A$11:$A$311, ALLCAMPERS!L$11:L$311))</f>
        <v/>
      </c>
      <c r="N94" s="4">
        <f t="shared" si="13"/>
        <v>1605</v>
      </c>
      <c r="O94" s="4">
        <f>LOOKUP(N94, ALLCAMPERS!$A$11:$A$311, ALLCAMPERS!$B$11:$B$311)</f>
        <v>16</v>
      </c>
      <c r="P94" s="4">
        <f>LOOKUP(N94, ALLCAMPERS!$A$11:$A$311, ALLCAMPERS!$C$11:$C$311)</f>
        <v>5</v>
      </c>
      <c r="Q94" s="4" t="str">
        <f>LOOKUP(N94, ALLCAMPERS!$A$11:$A$311, ALLCAMPERS!$D$11:$D$311)</f>
        <v>Joachim</v>
      </c>
      <c r="R94" s="4" t="str">
        <f>LOOKUP(N94, ALLCAMPERS!$A$11:$A$311, ALLCAMPERS!$E$11:$E$311)</f>
        <v>KAKISH</v>
      </c>
      <c r="S94" s="4" t="str">
        <f>IF(LOOKUP($N94, ALLCAMPERS!$A$11:$A$311, ALLCAMPERS!F$11:F$311) = 0, "", LOOKUP($N94, ALLCAMPERS!$A$11:$A$311, ALLCAMPERS!F$11:F$311))</f>
        <v/>
      </c>
      <c r="T94" s="4">
        <f>IF(LOOKUP($N94, ALLCAMPERS!$A$11:$A$311, ALLCAMPERS!G$11:G$311) = 0, "", LOOKUP($N94, ALLCAMPERS!$A$11:$A$311, ALLCAMPERS!G$11:G$311))</f>
        <v>6</v>
      </c>
      <c r="U94" s="4">
        <f>IF(LOOKUP($N94, ALLCAMPERS!$A$11:$A$311, ALLCAMPERS!H$11:H$311) = 0, "", LOOKUP($N94, ALLCAMPERS!$A$11:$A$311, ALLCAMPERS!H$11:H$311))</f>
        <v>3</v>
      </c>
      <c r="V94" s="4">
        <f>IF(LOOKUP($N94, ALLCAMPERS!$A$11:$A$311, ALLCAMPERS!I$11:I$311) = 0, "", LOOKUP($N94, ALLCAMPERS!$A$11:$A$311, ALLCAMPERS!I$11:I$311))</f>
        <v>7</v>
      </c>
      <c r="W94" s="4">
        <f>IF(LOOKUP($N94, ALLCAMPERS!$A$11:$A$311, ALLCAMPERS!J$11:J$311) = 0, "", LOOKUP($N94, ALLCAMPERS!$A$11:$A$311, ALLCAMPERS!J$11:J$311))</f>
        <v>3</v>
      </c>
      <c r="X94" s="4" t="str">
        <f>IF(LOOKUP($N94, ALLCAMPERS!$A$11:$A$311, ALLCAMPERS!K$11:K$311) = 0, "", LOOKUP($N94, ALLCAMPERS!$A$11:$A$311, ALLCAMPERS!K$11:K$311))</f>
        <v/>
      </c>
      <c r="Y94" s="4" t="str">
        <f>IF(LOOKUP($N94, ALLCAMPERS!$A$11:$A$311, ALLCAMPERS!L$11:L$311) = 0, "", LOOKUP($N94, ALLCAMPERS!$A$11:$A$311, ALLCAMPERS!L$11:L$311))</f>
        <v/>
      </c>
    </row>
    <row r="95" spans="1:25" x14ac:dyDescent="0.3">
      <c r="N95" s="4">
        <f t="shared" si="13"/>
        <v>1606</v>
      </c>
      <c r="O95" s="4">
        <f>LOOKUP(N95, ALLCAMPERS!$A$11:$A$311, ALLCAMPERS!$B$11:$B$311)</f>
        <v>16</v>
      </c>
      <c r="P95" s="4">
        <f>LOOKUP(N95, ALLCAMPERS!$A$11:$A$311, ALLCAMPERS!$C$11:$C$311)</f>
        <v>6</v>
      </c>
      <c r="Q95" s="4" t="str">
        <f>LOOKUP(N95, ALLCAMPERS!$A$11:$A$311, ALLCAMPERS!$D$11:$D$311)</f>
        <v>Georges</v>
      </c>
      <c r="R95" s="4" t="str">
        <f>LOOKUP(N95, ALLCAMPERS!$A$11:$A$311, ALLCAMPERS!$E$11:$E$311)</f>
        <v>YIGIT</v>
      </c>
      <c r="S95" s="4" t="str">
        <f>IF(LOOKUP($N95, ALLCAMPERS!$A$11:$A$311, ALLCAMPERS!F$11:F$311) = 0, "", LOOKUP($N95, ALLCAMPERS!$A$11:$A$311, ALLCAMPERS!F$11:F$311))</f>
        <v/>
      </c>
      <c r="T95" s="4">
        <f>IF(LOOKUP($N95, ALLCAMPERS!$A$11:$A$311, ALLCAMPERS!G$11:G$311) = 0, "", LOOKUP($N95, ALLCAMPERS!$A$11:$A$311, ALLCAMPERS!G$11:G$311))</f>
        <v>5</v>
      </c>
      <c r="U95" s="4">
        <f>IF(LOOKUP($N95, ALLCAMPERS!$A$11:$A$311, ALLCAMPERS!H$11:H$311) = 0, "", LOOKUP($N95, ALLCAMPERS!$A$11:$A$311, ALLCAMPERS!H$11:H$311))</f>
        <v>4</v>
      </c>
      <c r="V95" s="4">
        <f>IF(LOOKUP($N95, ALLCAMPERS!$A$11:$A$311, ALLCAMPERS!I$11:I$311) = 0, "", LOOKUP($N95, ALLCAMPERS!$A$11:$A$311, ALLCAMPERS!I$11:I$311))</f>
        <v>3</v>
      </c>
      <c r="W95" s="4">
        <f>IF(LOOKUP($N95, ALLCAMPERS!$A$11:$A$311, ALLCAMPERS!J$11:J$311) = 0, "", LOOKUP($N95, ALLCAMPERS!$A$11:$A$311, ALLCAMPERS!J$11:J$311))</f>
        <v>2</v>
      </c>
      <c r="X95" s="4" t="str">
        <f>IF(LOOKUP($N95, ALLCAMPERS!$A$11:$A$311, ALLCAMPERS!K$11:K$311) = 0, "", LOOKUP($N95, ALLCAMPERS!$A$11:$A$311, ALLCAMPERS!K$11:K$311))</f>
        <v/>
      </c>
      <c r="Y95" s="4" t="str">
        <f>IF(LOOKUP($N95, ALLCAMPERS!$A$11:$A$311, ALLCAMPERS!L$11:L$311) = 0, "", LOOKUP($N95, ALLCAMPERS!$A$11:$A$311, ALLCAMPERS!L$11:L$311))</f>
        <v/>
      </c>
    </row>
    <row r="96" spans="1:25" x14ac:dyDescent="0.3">
      <c r="N96" s="4">
        <f t="shared" si="13"/>
        <v>1607</v>
      </c>
      <c r="O96" s="4">
        <f>LOOKUP(N96, ALLCAMPERS!$A$11:$A$311, ALLCAMPERS!$B$11:$B$311)</f>
        <v>16</v>
      </c>
      <c r="P96" s="4">
        <f>LOOKUP(N96, ALLCAMPERS!$A$11:$A$311, ALLCAMPERS!$C$11:$C$311)</f>
        <v>7</v>
      </c>
      <c r="Q96" s="4" t="str">
        <f>LOOKUP(N96, ALLCAMPERS!$A$11:$A$311, ALLCAMPERS!$D$11:$D$311)</f>
        <v>Peter</v>
      </c>
      <c r="R96" s="4" t="str">
        <f>LOOKUP(N96, ALLCAMPERS!$A$11:$A$311, ALLCAMPERS!$E$11:$E$311)</f>
        <v>ABOU MRAD</v>
      </c>
      <c r="S96" s="4" t="str">
        <f>IF(LOOKUP($N96, ALLCAMPERS!$A$11:$A$311, ALLCAMPERS!F$11:F$311) = 0, "", LOOKUP($N96, ALLCAMPERS!$A$11:$A$311, ALLCAMPERS!F$11:F$311))</f>
        <v/>
      </c>
      <c r="T96" s="4">
        <f>IF(LOOKUP($N96, ALLCAMPERS!$A$11:$A$311, ALLCAMPERS!G$11:G$311) = 0, "", LOOKUP($N96, ALLCAMPERS!$A$11:$A$311, ALLCAMPERS!G$11:G$311))</f>
        <v>4</v>
      </c>
      <c r="U96" s="4">
        <f>IF(LOOKUP($N96, ALLCAMPERS!$A$11:$A$311, ALLCAMPERS!H$11:H$311) = 0, "", LOOKUP($N96, ALLCAMPERS!$A$11:$A$311, ALLCAMPERS!H$11:H$311))</f>
        <v>5</v>
      </c>
      <c r="V96" s="4">
        <f>IF(LOOKUP($N96, ALLCAMPERS!$A$11:$A$311, ALLCAMPERS!I$11:I$311) = 0, "", LOOKUP($N96, ALLCAMPERS!$A$11:$A$311, ALLCAMPERS!I$11:I$311))</f>
        <v>1</v>
      </c>
      <c r="W96" s="4">
        <f>IF(LOOKUP($N96, ALLCAMPERS!$A$11:$A$311, ALLCAMPERS!J$11:J$311) = 0, "", LOOKUP($N96, ALLCAMPERS!$A$11:$A$311, ALLCAMPERS!J$11:J$311))</f>
        <v>2</v>
      </c>
      <c r="X96" s="4" t="str">
        <f>IF(LOOKUP($N96, ALLCAMPERS!$A$11:$A$311, ALLCAMPERS!K$11:K$311) = 0, "", LOOKUP($N96, ALLCAMPERS!$A$11:$A$311, ALLCAMPERS!K$11:K$311))</f>
        <v/>
      </c>
      <c r="Y96" s="4" t="str">
        <f>IF(LOOKUP($N96, ALLCAMPERS!$A$11:$A$311, ALLCAMPERS!L$11:L$311) = 0, "", LOOKUP($N96, ALLCAMPERS!$A$11:$A$311, ALLCAMPERS!L$11:L$311))</f>
        <v/>
      </c>
    </row>
    <row r="97" spans="1:25" x14ac:dyDescent="0.3">
      <c r="N97" s="4">
        <f t="shared" si="13"/>
        <v>1608</v>
      </c>
      <c r="O97" s="4">
        <f>LOOKUP(N97, ALLCAMPERS!$A$11:$A$311, ALLCAMPERS!$B$11:$B$311)</f>
        <v>16</v>
      </c>
      <c r="P97" s="4">
        <f>LOOKUP(N97, ALLCAMPERS!$A$11:$A$311, ALLCAMPERS!$C$11:$C$311)</f>
        <v>8</v>
      </c>
      <c r="Q97" s="4" t="str">
        <f>LOOKUP(N97, ALLCAMPERS!$A$11:$A$311, ALLCAMPERS!$D$11:$D$311)</f>
        <v>Daniel</v>
      </c>
      <c r="R97" s="4" t="str">
        <f>LOOKUP(N97, ALLCAMPERS!$A$11:$A$311, ALLCAMPERS!$E$11:$E$311)</f>
        <v>ANDRAWES</v>
      </c>
      <c r="S97" s="4" t="str">
        <f>IF(LOOKUP($N97, ALLCAMPERS!$A$11:$A$311, ALLCAMPERS!F$11:F$311) = 0, "", LOOKUP($N97, ALLCAMPERS!$A$11:$A$311, ALLCAMPERS!F$11:F$311))</f>
        <v/>
      </c>
      <c r="T97" s="4">
        <f>IF(LOOKUP($N97, ALLCAMPERS!$A$11:$A$311, ALLCAMPERS!G$11:G$311) = 0, "", LOOKUP($N97, ALLCAMPERS!$A$11:$A$311, ALLCAMPERS!G$11:G$311))</f>
        <v>2</v>
      </c>
      <c r="U97" s="4">
        <f>IF(LOOKUP($N97, ALLCAMPERS!$A$11:$A$311, ALLCAMPERS!H$11:H$311) = 0, "", LOOKUP($N97, ALLCAMPERS!$A$11:$A$311, ALLCAMPERS!H$11:H$311))</f>
        <v>6</v>
      </c>
      <c r="V97" s="4">
        <f>IF(LOOKUP($N97, ALLCAMPERS!$A$11:$A$311, ALLCAMPERS!I$11:I$311) = 0, "", LOOKUP($N97, ALLCAMPERS!$A$11:$A$311, ALLCAMPERS!I$11:I$311))</f>
        <v>7</v>
      </c>
      <c r="W97" s="4">
        <f>IF(LOOKUP($N97, ALLCAMPERS!$A$11:$A$311, ALLCAMPERS!J$11:J$311) = 0, "", LOOKUP($N97, ALLCAMPERS!$A$11:$A$311, ALLCAMPERS!J$11:J$311))</f>
        <v>6</v>
      </c>
      <c r="X97" s="4" t="str">
        <f>IF(LOOKUP($N97, ALLCAMPERS!$A$11:$A$311, ALLCAMPERS!K$11:K$311) = 0, "", LOOKUP($N97, ALLCAMPERS!$A$11:$A$311, ALLCAMPERS!K$11:K$311))</f>
        <v/>
      </c>
      <c r="Y97" s="4" t="str">
        <f>IF(LOOKUP($N97, ALLCAMPERS!$A$11:$A$311, ALLCAMPERS!L$11:L$311) = 0, "", LOOKUP($N97, ALLCAMPERS!$A$11:$A$311, ALLCAMPERS!L$11:L$311))</f>
        <v/>
      </c>
    </row>
    <row r="98" spans="1:25" x14ac:dyDescent="0.3">
      <c r="N98" s="4">
        <f t="shared" si="13"/>
        <v>1609</v>
      </c>
      <c r="O98" s="4">
        <f>LOOKUP(N98, ALLCAMPERS!$A$11:$A$311, ALLCAMPERS!$B$11:$B$311)</f>
        <v>16</v>
      </c>
      <c r="P98" s="4">
        <f>LOOKUP(N98, ALLCAMPERS!$A$11:$A$311, ALLCAMPERS!$C$11:$C$311)</f>
        <v>9</v>
      </c>
      <c r="Q98" s="4" t="str">
        <f>LOOKUP(N98, ALLCAMPERS!$A$11:$A$311, ALLCAMPERS!$D$11:$D$311)</f>
        <v>Jean-Pierre</v>
      </c>
      <c r="R98" s="4" t="str">
        <f>LOOKUP(N98, ALLCAMPERS!$A$11:$A$311, ALLCAMPERS!$E$11:$E$311)</f>
        <v>DAIBS</v>
      </c>
      <c r="S98" s="4" t="str">
        <f>IF(LOOKUP($N98, ALLCAMPERS!$A$11:$A$311, ALLCAMPERS!F$11:F$311) = 0, "", LOOKUP($N98, ALLCAMPERS!$A$11:$A$311, ALLCAMPERS!F$11:F$311))</f>
        <v/>
      </c>
      <c r="T98" s="4">
        <f>IF(LOOKUP($N98, ALLCAMPERS!$A$11:$A$311, ALLCAMPERS!G$11:G$311) = 0, "", LOOKUP($N98, ALLCAMPERS!$A$11:$A$311, ALLCAMPERS!G$11:G$311))</f>
        <v>1</v>
      </c>
      <c r="U98" s="4">
        <f>IF(LOOKUP($N98, ALLCAMPERS!$A$11:$A$311, ALLCAMPERS!H$11:H$311) = 0, "", LOOKUP($N98, ALLCAMPERS!$A$11:$A$311, ALLCAMPERS!H$11:H$311))</f>
        <v>3</v>
      </c>
      <c r="V98" s="4">
        <f>IF(LOOKUP($N98, ALLCAMPERS!$A$11:$A$311, ALLCAMPERS!I$11:I$311) = 0, "", LOOKUP($N98, ALLCAMPERS!$A$11:$A$311, ALLCAMPERS!I$11:I$311))</f>
        <v>2</v>
      </c>
      <c r="W98" s="4">
        <f>IF(LOOKUP($N98, ALLCAMPERS!$A$11:$A$311, ALLCAMPERS!J$11:J$311) = 0, "", LOOKUP($N98, ALLCAMPERS!$A$11:$A$311, ALLCAMPERS!J$11:J$311))</f>
        <v>6</v>
      </c>
      <c r="X98" s="4" t="str">
        <f>IF(LOOKUP($N98, ALLCAMPERS!$A$11:$A$311, ALLCAMPERS!K$11:K$311) = 0, "", LOOKUP($N98, ALLCAMPERS!$A$11:$A$311, ALLCAMPERS!K$11:K$311))</f>
        <v/>
      </c>
      <c r="Y98" s="4" t="str">
        <f>IF(LOOKUP($N98, ALLCAMPERS!$A$11:$A$311, ALLCAMPERS!L$11:L$311) = 0, "", LOOKUP($N98, ALLCAMPERS!$A$11:$A$311, ALLCAMPERS!L$11:L$311))</f>
        <v/>
      </c>
    </row>
    <row r="106" spans="1:25" ht="28.8" x14ac:dyDescent="0.3">
      <c r="A106" s="16" t="s">
        <v>0</v>
      </c>
      <c r="B106" s="16" t="s">
        <v>1</v>
      </c>
      <c r="C106" s="16" t="s">
        <v>76</v>
      </c>
      <c r="D106" s="16" t="s">
        <v>2</v>
      </c>
      <c r="E106" s="16" t="s">
        <v>3</v>
      </c>
      <c r="F106" s="16" t="s">
        <v>16</v>
      </c>
      <c r="G106" s="16" t="s">
        <v>311</v>
      </c>
      <c r="H106" s="16" t="s">
        <v>312</v>
      </c>
      <c r="I106" s="16" t="s">
        <v>313</v>
      </c>
      <c r="J106" s="16" t="s">
        <v>314</v>
      </c>
      <c r="K106" s="16" t="s">
        <v>87</v>
      </c>
      <c r="L106" s="16" t="s">
        <v>88</v>
      </c>
      <c r="M106" s="16"/>
      <c r="N106" s="16" t="s">
        <v>0</v>
      </c>
      <c r="O106" s="16" t="s">
        <v>1</v>
      </c>
      <c r="P106" s="16" t="s">
        <v>76</v>
      </c>
      <c r="Q106" s="16" t="s">
        <v>2</v>
      </c>
      <c r="R106" s="16" t="s">
        <v>3</v>
      </c>
      <c r="S106" s="16" t="s">
        <v>16</v>
      </c>
      <c r="T106" s="16" t="s">
        <v>311</v>
      </c>
      <c r="U106" s="16" t="s">
        <v>312</v>
      </c>
      <c r="V106" s="16" t="s">
        <v>313</v>
      </c>
      <c r="W106" s="16" t="s">
        <v>314</v>
      </c>
      <c r="X106" s="16" t="s">
        <v>87</v>
      </c>
      <c r="Y106" s="16" t="s">
        <v>88</v>
      </c>
    </row>
    <row r="107" spans="1:25" x14ac:dyDescent="0.3">
      <c r="A107" s="4">
        <v>701</v>
      </c>
      <c r="B107" s="4">
        <f>LOOKUP(A107, ALLCAMPERS!$A$11:$A$311, ALLCAMPERS!$B$11:$B$311)</f>
        <v>7</v>
      </c>
      <c r="C107" s="4">
        <f>LOOKUP(A107, ALLCAMPERS!$A$11:$A$311, ALLCAMPERS!$C$11:$C$311)</f>
        <v>1</v>
      </c>
      <c r="D107" s="4" t="str">
        <f>LOOKUP(A107, ALLCAMPERS!$A$11:$A$311, ALLCAMPERS!$D$11:$D$311)</f>
        <v>Marie-Noël</v>
      </c>
      <c r="E107" s="4" t="str">
        <f>LOOKUP(A107, ALLCAMPERS!$A$11:$A$311, ALLCAMPERS!$E$11:$E$311)</f>
        <v>CHAYEB</v>
      </c>
      <c r="F107" s="4" t="str">
        <f>IF(LOOKUP($A107, ALLCAMPERS!$A$11:$A$311, ALLCAMPERS!F$11:F$311) = 0, "", LOOKUP($A107, ALLCAMPERS!$A$11:$A$311, ALLCAMPERS!F$11:F$311))</f>
        <v/>
      </c>
      <c r="G107" s="4">
        <f>IF(LOOKUP($A107, ALLCAMPERS!$A$11:$A$311, ALLCAMPERS!G$11:G$311) = 0, "", LOOKUP($A107, ALLCAMPERS!$A$11:$A$311, ALLCAMPERS!G$11:G$311))</f>
        <v>7</v>
      </c>
      <c r="H107" s="4">
        <f>IF(LOOKUP($A107, ALLCAMPERS!$A$11:$A$311, ALLCAMPERS!H$11:H$311) = 0, "", LOOKUP($A107, ALLCAMPERS!$A$11:$A$311, ALLCAMPERS!H$11:H$311))</f>
        <v>2</v>
      </c>
      <c r="I107" s="4">
        <f>IF(LOOKUP($A107, ALLCAMPERS!$A$11:$A$311, ALLCAMPERS!I$11:I$311) = 0, "", LOOKUP($A107, ALLCAMPERS!$A$11:$A$311, ALLCAMPERS!I$11:I$311))</f>
        <v>5</v>
      </c>
      <c r="J107" s="4">
        <f>IF(LOOKUP($A107, ALLCAMPERS!$A$11:$A$311, ALLCAMPERS!J$11:J$311) = 0, "", LOOKUP($A107, ALLCAMPERS!$A$11:$A$311, ALLCAMPERS!J$11:J$311))</f>
        <v>7</v>
      </c>
      <c r="K107" s="4" t="str">
        <f>IF(LOOKUP($A107, ALLCAMPERS!$A$11:$A$311, ALLCAMPERS!K$11:K$311) = 0, "", LOOKUP($A107, ALLCAMPERS!$A$11:$A$311, ALLCAMPERS!K$11:K$311))</f>
        <v/>
      </c>
      <c r="L107" s="4" t="str">
        <f>IF(LOOKUP($A107, ALLCAMPERS!$A$11:$A$311, ALLCAMPERS!L$11:L$311) = 0, "", LOOKUP($A107, ALLCAMPERS!$A$11:$A$311, ALLCAMPERS!L$11:L$311))</f>
        <v/>
      </c>
      <c r="N107" s="4">
        <f>A107+1000</f>
        <v>1701</v>
      </c>
      <c r="O107" s="4">
        <f>LOOKUP(N107, ALLCAMPERS!$A$11:$A$311, ALLCAMPERS!$B$11:$B$311)</f>
        <v>17</v>
      </c>
      <c r="P107" s="4">
        <f>LOOKUP(N107, ALLCAMPERS!$A$11:$A$311, ALLCAMPERS!$C$11:$C$311)</f>
        <v>1</v>
      </c>
      <c r="Q107" s="4" t="str">
        <f>LOOKUP(N107, ALLCAMPERS!$A$11:$A$311, ALLCAMPERS!$D$11:$D$311)</f>
        <v>Maher</v>
      </c>
      <c r="R107" s="4" t="str">
        <f>LOOKUP(N107, ALLCAMPERS!$A$11:$A$311, ALLCAMPERS!$E$11:$E$311)</f>
        <v>SAWAN</v>
      </c>
      <c r="S107" s="4" t="str">
        <f>IF(LOOKUP($N107, ALLCAMPERS!$A$11:$A$311, ALLCAMPERS!F$11:F$311) = 0, "", LOOKUP($N107, ALLCAMPERS!$A$11:$A$311, ALLCAMPERS!F$11:F$311))</f>
        <v/>
      </c>
      <c r="T107" s="4">
        <f>IF(LOOKUP($N107, ALLCAMPERS!$A$11:$A$311, ALLCAMPERS!G$11:G$311) = 0, "", LOOKUP($N107, ALLCAMPERS!$A$11:$A$311, ALLCAMPERS!G$11:G$311))</f>
        <v>7</v>
      </c>
      <c r="U107" s="4">
        <f>IF(LOOKUP($N107, ALLCAMPERS!$A$11:$A$311, ALLCAMPERS!H$11:H$311) = 0, "", LOOKUP($N107, ALLCAMPERS!$A$11:$A$311, ALLCAMPERS!H$11:H$311))</f>
        <v>2</v>
      </c>
      <c r="V107" s="4">
        <f>IF(LOOKUP($N107, ALLCAMPERS!$A$11:$A$311, ALLCAMPERS!I$11:I$311) = 0, "", LOOKUP($N107, ALLCAMPERS!$A$11:$A$311, ALLCAMPERS!I$11:I$311))</f>
        <v>2</v>
      </c>
      <c r="W107" s="4">
        <f>IF(LOOKUP($N107, ALLCAMPERS!$A$11:$A$311, ALLCAMPERS!J$11:J$311) = 0, "", LOOKUP($N107, ALLCAMPERS!$A$11:$A$311, ALLCAMPERS!J$11:J$311))</f>
        <v>6</v>
      </c>
      <c r="X107" s="4" t="str">
        <f>IF(LOOKUP($N107, ALLCAMPERS!$A$11:$A$311, ALLCAMPERS!K$11:K$311) = 0, "", LOOKUP($N107, ALLCAMPERS!$A$11:$A$311, ALLCAMPERS!K$11:K$311))</f>
        <v/>
      </c>
      <c r="Y107" s="4" t="str">
        <f>IF(LOOKUP($N107, ALLCAMPERS!$A$11:$A$311, ALLCAMPERS!L$11:L$311) = 0, "", LOOKUP($N107, ALLCAMPERS!$A$11:$A$311, ALLCAMPERS!L$11:L$311))</f>
        <v/>
      </c>
    </row>
    <row r="108" spans="1:25" x14ac:dyDescent="0.3">
      <c r="A108" s="4">
        <f>A107+1</f>
        <v>702</v>
      </c>
      <c r="B108" s="4">
        <f>LOOKUP(A108, ALLCAMPERS!$A$11:$A$311, ALLCAMPERS!$B$11:$B$311)</f>
        <v>7</v>
      </c>
      <c r="C108" s="4">
        <f>LOOKUP(A108, ALLCAMPERS!$A$11:$A$311, ALLCAMPERS!$C$11:$C$311)</f>
        <v>2</v>
      </c>
      <c r="D108" s="4" t="str">
        <f>LOOKUP(A108, ALLCAMPERS!$A$11:$A$311, ALLCAMPERS!$D$11:$D$311)</f>
        <v>Marguerite</v>
      </c>
      <c r="E108" s="4" t="str">
        <f>LOOKUP(A108, ALLCAMPERS!$A$11:$A$311, ALLCAMPERS!$E$11:$E$311)</f>
        <v>REZK</v>
      </c>
      <c r="F108" s="4" t="str">
        <f>IF(LOOKUP($A108, ALLCAMPERS!$A$11:$A$311, ALLCAMPERS!F$11:F$311) = 0, "", LOOKUP($A108, ALLCAMPERS!$A$11:$A$311, ALLCAMPERS!F$11:F$311))</f>
        <v/>
      </c>
      <c r="G108" s="4">
        <f>IF(LOOKUP($A108, ALLCAMPERS!$A$11:$A$311, ALLCAMPERS!G$11:G$311) = 0, "", LOOKUP($A108, ALLCAMPERS!$A$11:$A$311, ALLCAMPERS!G$11:G$311))</f>
        <v>3</v>
      </c>
      <c r="H108" s="4">
        <f>IF(LOOKUP($A108, ALLCAMPERS!$A$11:$A$311, ALLCAMPERS!H$11:H$311) = 0, "", LOOKUP($A108, ALLCAMPERS!$A$11:$A$311, ALLCAMPERS!H$11:H$311))</f>
        <v>1</v>
      </c>
      <c r="I108" s="4">
        <f>IF(LOOKUP($A108, ALLCAMPERS!$A$11:$A$311, ALLCAMPERS!I$11:I$311) = 0, "", LOOKUP($A108, ALLCAMPERS!$A$11:$A$311, ALLCAMPERS!I$11:I$311))</f>
        <v>2</v>
      </c>
      <c r="J108" s="4">
        <f>IF(LOOKUP($A108, ALLCAMPERS!$A$11:$A$311, ALLCAMPERS!J$11:J$311) = 0, "", LOOKUP($A108, ALLCAMPERS!$A$11:$A$311, ALLCAMPERS!J$11:J$311))</f>
        <v>4</v>
      </c>
      <c r="K108" s="4" t="str">
        <f>IF(LOOKUP($A108, ALLCAMPERS!$A$11:$A$311, ALLCAMPERS!K$11:K$311) = 0, "", LOOKUP($A108, ALLCAMPERS!$A$11:$A$311, ALLCAMPERS!K$11:K$311))</f>
        <v/>
      </c>
      <c r="L108" s="4" t="str">
        <f>IF(LOOKUP($A108, ALLCAMPERS!$A$11:$A$311, ALLCAMPERS!L$11:L$311) = 0, "", LOOKUP($A108, ALLCAMPERS!$A$11:$A$311, ALLCAMPERS!L$11:L$311))</f>
        <v/>
      </c>
      <c r="N108" s="4">
        <f>N107+1</f>
        <v>1702</v>
      </c>
      <c r="O108" s="4">
        <f>LOOKUP(N108, ALLCAMPERS!$A$11:$A$311, ALLCAMPERS!$B$11:$B$311)</f>
        <v>17</v>
      </c>
      <c r="P108" s="4">
        <f>LOOKUP(N108, ALLCAMPERS!$A$11:$A$311, ALLCAMPERS!$C$11:$C$311)</f>
        <v>2</v>
      </c>
      <c r="Q108" s="4" t="str">
        <f>LOOKUP(N108, ALLCAMPERS!$A$11:$A$311, ALLCAMPERS!$D$11:$D$311)</f>
        <v>Ramy</v>
      </c>
      <c r="R108" s="4" t="str">
        <f>LOOKUP(N108, ALLCAMPERS!$A$11:$A$311, ALLCAMPERS!$E$11:$E$311)</f>
        <v>FARAH</v>
      </c>
      <c r="S108" s="4" t="str">
        <f>IF(LOOKUP($N108, ALLCAMPERS!$A$11:$A$311, ALLCAMPERS!F$11:F$311) = 0, "", LOOKUP($N108, ALLCAMPERS!$A$11:$A$311, ALLCAMPERS!F$11:F$311))</f>
        <v/>
      </c>
      <c r="T108" s="4">
        <f>IF(LOOKUP($N108, ALLCAMPERS!$A$11:$A$311, ALLCAMPERS!G$11:G$311) = 0, "", LOOKUP($N108, ALLCAMPERS!$A$11:$A$311, ALLCAMPERS!G$11:G$311))</f>
        <v>6</v>
      </c>
      <c r="U108" s="4">
        <f>IF(LOOKUP($N108, ALLCAMPERS!$A$11:$A$311, ALLCAMPERS!H$11:H$311) = 0, "", LOOKUP($N108, ALLCAMPERS!$A$11:$A$311, ALLCAMPERS!H$11:H$311))</f>
        <v>5</v>
      </c>
      <c r="V108" s="4">
        <f>IF(LOOKUP($N108, ALLCAMPERS!$A$11:$A$311, ALLCAMPERS!I$11:I$311) = 0, "", LOOKUP($N108, ALLCAMPERS!$A$11:$A$311, ALLCAMPERS!I$11:I$311))</f>
        <v>3</v>
      </c>
      <c r="W108" s="4">
        <f>IF(LOOKUP($N108, ALLCAMPERS!$A$11:$A$311, ALLCAMPERS!J$11:J$311) = 0, "", LOOKUP($N108, ALLCAMPERS!$A$11:$A$311, ALLCAMPERS!J$11:J$311))</f>
        <v>3</v>
      </c>
      <c r="X108" s="4" t="str">
        <f>IF(LOOKUP($N108, ALLCAMPERS!$A$11:$A$311, ALLCAMPERS!K$11:K$311) = 0, "", LOOKUP($N108, ALLCAMPERS!$A$11:$A$311, ALLCAMPERS!K$11:K$311))</f>
        <v/>
      </c>
      <c r="Y108" s="4" t="str">
        <f>IF(LOOKUP($N108, ALLCAMPERS!$A$11:$A$311, ALLCAMPERS!L$11:L$311) = 0, "", LOOKUP($N108, ALLCAMPERS!$A$11:$A$311, ALLCAMPERS!L$11:L$311))</f>
        <v/>
      </c>
    </row>
    <row r="109" spans="1:25" x14ac:dyDescent="0.3">
      <c r="A109" s="4">
        <f t="shared" ref="A109:A111" si="14">A108+1</f>
        <v>703</v>
      </c>
      <c r="B109" s="4">
        <f>LOOKUP(A109, ALLCAMPERS!$A$11:$A$311, ALLCAMPERS!$B$11:$B$311)</f>
        <v>7</v>
      </c>
      <c r="C109" s="4">
        <f>LOOKUP(A109, ALLCAMPERS!$A$11:$A$311, ALLCAMPERS!$C$11:$C$311)</f>
        <v>3</v>
      </c>
      <c r="D109" s="4" t="str">
        <f>LOOKUP(A109, ALLCAMPERS!$A$11:$A$311, ALLCAMPERS!$D$11:$D$311)</f>
        <v>Marina</v>
      </c>
      <c r="E109" s="4" t="str">
        <f>LOOKUP(A109, ALLCAMPERS!$A$11:$A$311, ALLCAMPERS!$E$11:$E$311)</f>
        <v>WYATT</v>
      </c>
      <c r="F109" s="4" t="str">
        <f>IF(LOOKUP($A109, ALLCAMPERS!$A$11:$A$311, ALLCAMPERS!F$11:F$311) = 0, "", LOOKUP($A109, ALLCAMPERS!$A$11:$A$311, ALLCAMPERS!F$11:F$311))</f>
        <v/>
      </c>
      <c r="G109" s="4">
        <f>IF(LOOKUP($A109, ALLCAMPERS!$A$11:$A$311, ALLCAMPERS!G$11:G$311) = 0, "", LOOKUP($A109, ALLCAMPERS!$A$11:$A$311, ALLCAMPERS!G$11:G$311))</f>
        <v>1</v>
      </c>
      <c r="H109" s="4">
        <f>IF(LOOKUP($A109, ALLCAMPERS!$A$11:$A$311, ALLCAMPERS!H$11:H$311) = 0, "", LOOKUP($A109, ALLCAMPERS!$A$11:$A$311, ALLCAMPERS!H$11:H$311))</f>
        <v>1</v>
      </c>
      <c r="I109" s="4">
        <f>IF(LOOKUP($A109, ALLCAMPERS!$A$11:$A$311, ALLCAMPERS!I$11:I$311) = 0, "", LOOKUP($A109, ALLCAMPERS!$A$11:$A$311, ALLCAMPERS!I$11:I$311))</f>
        <v>4</v>
      </c>
      <c r="J109" s="4">
        <f>IF(LOOKUP($A109, ALLCAMPERS!$A$11:$A$311, ALLCAMPERS!J$11:J$311) = 0, "", LOOKUP($A109, ALLCAMPERS!$A$11:$A$311, ALLCAMPERS!J$11:J$311))</f>
        <v>6</v>
      </c>
      <c r="K109" s="4" t="str">
        <f>IF(LOOKUP($A109, ALLCAMPERS!$A$11:$A$311, ALLCAMPERS!K$11:K$311) = 0, "", LOOKUP($A109, ALLCAMPERS!$A$11:$A$311, ALLCAMPERS!K$11:K$311))</f>
        <v/>
      </c>
      <c r="L109" s="4" t="str">
        <f>IF(LOOKUP($A109, ALLCAMPERS!$A$11:$A$311, ALLCAMPERS!L$11:L$311) = 0, "", LOOKUP($A109, ALLCAMPERS!$A$11:$A$311, ALLCAMPERS!L$11:L$311))</f>
        <v/>
      </c>
      <c r="N109" s="4">
        <f t="shared" ref="N109:N116" si="15">N108+1</f>
        <v>1703</v>
      </c>
      <c r="O109" s="4">
        <f>LOOKUP(N109, ALLCAMPERS!$A$11:$A$311, ALLCAMPERS!$B$11:$B$311)</f>
        <v>17</v>
      </c>
      <c r="P109" s="4">
        <f>LOOKUP(N109, ALLCAMPERS!$A$11:$A$311, ALLCAMPERS!$C$11:$C$311)</f>
        <v>3</v>
      </c>
      <c r="Q109" s="4" t="str">
        <f>LOOKUP(N109, ALLCAMPERS!$A$11:$A$311, ALLCAMPERS!$D$11:$D$311)</f>
        <v>Fadi</v>
      </c>
      <c r="R109" s="4" t="str">
        <f>LOOKUP(N109, ALLCAMPERS!$A$11:$A$311, ALLCAMPERS!$E$11:$E$311)</f>
        <v>SADDY</v>
      </c>
      <c r="S109" s="4" t="str">
        <f>IF(LOOKUP($N109, ALLCAMPERS!$A$11:$A$311, ALLCAMPERS!F$11:F$311) = 0, "", LOOKUP($N109, ALLCAMPERS!$A$11:$A$311, ALLCAMPERS!F$11:F$311))</f>
        <v/>
      </c>
      <c r="T109" s="4">
        <f>IF(LOOKUP($N109, ALLCAMPERS!$A$11:$A$311, ALLCAMPERS!G$11:G$311) = 0, "", LOOKUP($N109, ALLCAMPERS!$A$11:$A$311, ALLCAMPERS!G$11:G$311))</f>
        <v>3</v>
      </c>
      <c r="U109" s="4">
        <f>IF(LOOKUP($N109, ALLCAMPERS!$A$11:$A$311, ALLCAMPERS!H$11:H$311) = 0, "", LOOKUP($N109, ALLCAMPERS!$A$11:$A$311, ALLCAMPERS!H$11:H$311))</f>
        <v>3</v>
      </c>
      <c r="V109" s="4">
        <f>IF(LOOKUP($N109, ALLCAMPERS!$A$11:$A$311, ALLCAMPERS!I$11:I$311) = 0, "", LOOKUP($N109, ALLCAMPERS!$A$11:$A$311, ALLCAMPERS!I$11:I$311))</f>
        <v>3</v>
      </c>
      <c r="W109" s="4">
        <f>IF(LOOKUP($N109, ALLCAMPERS!$A$11:$A$311, ALLCAMPERS!J$11:J$311) = 0, "", LOOKUP($N109, ALLCAMPERS!$A$11:$A$311, ALLCAMPERS!J$11:J$311))</f>
        <v>6</v>
      </c>
      <c r="X109" s="4" t="str">
        <f>IF(LOOKUP($N109, ALLCAMPERS!$A$11:$A$311, ALLCAMPERS!K$11:K$311) = 0, "", LOOKUP($N109, ALLCAMPERS!$A$11:$A$311, ALLCAMPERS!K$11:K$311))</f>
        <v/>
      </c>
      <c r="Y109" s="4" t="str">
        <f>IF(LOOKUP($N109, ALLCAMPERS!$A$11:$A$311, ALLCAMPERS!L$11:L$311) = 0, "", LOOKUP($N109, ALLCAMPERS!$A$11:$A$311, ALLCAMPERS!L$11:L$311))</f>
        <v/>
      </c>
    </row>
    <row r="110" spans="1:25" x14ac:dyDescent="0.3">
      <c r="A110" s="4">
        <f t="shared" si="14"/>
        <v>704</v>
      </c>
      <c r="B110" s="4">
        <f>LOOKUP(A110, ALLCAMPERS!$A$11:$A$311, ALLCAMPERS!$B$11:$B$311)</f>
        <v>7</v>
      </c>
      <c r="C110" s="4">
        <f>LOOKUP(A110, ALLCAMPERS!$A$11:$A$311, ALLCAMPERS!$C$11:$C$311)</f>
        <v>4</v>
      </c>
      <c r="D110" s="4" t="str">
        <f>LOOKUP(A110, ALLCAMPERS!$A$11:$A$311, ALLCAMPERS!$D$11:$D$311)</f>
        <v>Steffany</v>
      </c>
      <c r="E110" s="4" t="str">
        <f>LOOKUP(A110, ALLCAMPERS!$A$11:$A$311, ALLCAMPERS!$E$11:$E$311)</f>
        <v>ABU AKEL</v>
      </c>
      <c r="F110" s="4" t="str">
        <f>IF(LOOKUP($A110, ALLCAMPERS!$A$11:$A$311, ALLCAMPERS!F$11:F$311) = 0, "", LOOKUP($A110, ALLCAMPERS!$A$11:$A$311, ALLCAMPERS!F$11:F$311))</f>
        <v/>
      </c>
      <c r="G110" s="4">
        <f>IF(LOOKUP($A110, ALLCAMPERS!$A$11:$A$311, ALLCAMPERS!G$11:G$311) = 0, "", LOOKUP($A110, ALLCAMPERS!$A$11:$A$311, ALLCAMPERS!G$11:G$311))</f>
        <v>2</v>
      </c>
      <c r="H110" s="4">
        <f>IF(LOOKUP($A110, ALLCAMPERS!$A$11:$A$311, ALLCAMPERS!H$11:H$311) = 0, "", LOOKUP($A110, ALLCAMPERS!$A$11:$A$311, ALLCAMPERS!H$11:H$311))</f>
        <v>7</v>
      </c>
      <c r="I110" s="4">
        <f>IF(LOOKUP($A110, ALLCAMPERS!$A$11:$A$311, ALLCAMPERS!I$11:I$311) = 0, "", LOOKUP($A110, ALLCAMPERS!$A$11:$A$311, ALLCAMPERS!I$11:I$311))</f>
        <v>4</v>
      </c>
      <c r="J110" s="4">
        <f>IF(LOOKUP($A110, ALLCAMPERS!$A$11:$A$311, ALLCAMPERS!J$11:J$311) = 0, "", LOOKUP($A110, ALLCAMPERS!$A$11:$A$311, ALLCAMPERS!J$11:J$311))</f>
        <v>4</v>
      </c>
      <c r="K110" s="4" t="str">
        <f>IF(LOOKUP($A110, ALLCAMPERS!$A$11:$A$311, ALLCAMPERS!K$11:K$311) = 0, "", LOOKUP($A110, ALLCAMPERS!$A$11:$A$311, ALLCAMPERS!K$11:K$311))</f>
        <v/>
      </c>
      <c r="L110" s="4" t="str">
        <f>IF(LOOKUP($A110, ALLCAMPERS!$A$11:$A$311, ALLCAMPERS!L$11:L$311) = 0, "", LOOKUP($A110, ALLCAMPERS!$A$11:$A$311, ALLCAMPERS!L$11:L$311))</f>
        <v/>
      </c>
      <c r="N110" s="4">
        <f t="shared" si="15"/>
        <v>1704</v>
      </c>
      <c r="O110" s="4">
        <f>LOOKUP(N110, ALLCAMPERS!$A$11:$A$311, ALLCAMPERS!$B$11:$B$311)</f>
        <v>17</v>
      </c>
      <c r="P110" s="4">
        <f>LOOKUP(N110, ALLCAMPERS!$A$11:$A$311, ALLCAMPERS!$C$11:$C$311)</f>
        <v>4</v>
      </c>
      <c r="Q110" s="4" t="str">
        <f>LOOKUP(N110, ALLCAMPERS!$A$11:$A$311, ALLCAMPERS!$D$11:$D$311)</f>
        <v>Marcus</v>
      </c>
      <c r="R110" s="4" t="str">
        <f>LOOKUP(N110, ALLCAMPERS!$A$11:$A$311, ALLCAMPERS!$E$11:$E$311)</f>
        <v>WEHBI</v>
      </c>
      <c r="S110" s="4" t="str">
        <f>IF(LOOKUP($N110, ALLCAMPERS!$A$11:$A$311, ALLCAMPERS!F$11:F$311) = 0, "", LOOKUP($N110, ALLCAMPERS!$A$11:$A$311, ALLCAMPERS!F$11:F$311))</f>
        <v/>
      </c>
      <c r="T110" s="4">
        <f>IF(LOOKUP($N110, ALLCAMPERS!$A$11:$A$311, ALLCAMPERS!G$11:G$311) = 0, "", LOOKUP($N110, ALLCAMPERS!$A$11:$A$311, ALLCAMPERS!G$11:G$311))</f>
        <v>1</v>
      </c>
      <c r="U110" s="4">
        <f>IF(LOOKUP($N110, ALLCAMPERS!$A$11:$A$311, ALLCAMPERS!H$11:H$311) = 0, "", LOOKUP($N110, ALLCAMPERS!$A$11:$A$311, ALLCAMPERS!H$11:H$311))</f>
        <v>7</v>
      </c>
      <c r="V110" s="4">
        <f>IF(LOOKUP($N110, ALLCAMPERS!$A$11:$A$311, ALLCAMPERS!I$11:I$311) = 0, "", LOOKUP($N110, ALLCAMPERS!$A$11:$A$311, ALLCAMPERS!I$11:I$311))</f>
        <v>7</v>
      </c>
      <c r="W110" s="4">
        <f>IF(LOOKUP($N110, ALLCAMPERS!$A$11:$A$311, ALLCAMPERS!J$11:J$311) = 0, "", LOOKUP($N110, ALLCAMPERS!$A$11:$A$311, ALLCAMPERS!J$11:J$311))</f>
        <v>4</v>
      </c>
      <c r="X110" s="4" t="str">
        <f>IF(LOOKUP($N110, ALLCAMPERS!$A$11:$A$311, ALLCAMPERS!K$11:K$311) = 0, "", LOOKUP($N110, ALLCAMPERS!$A$11:$A$311, ALLCAMPERS!K$11:K$311))</f>
        <v/>
      </c>
      <c r="Y110" s="4" t="str">
        <f>IF(LOOKUP($N110, ALLCAMPERS!$A$11:$A$311, ALLCAMPERS!L$11:L$311) = 0, "", LOOKUP($N110, ALLCAMPERS!$A$11:$A$311, ALLCAMPERS!L$11:L$311))</f>
        <v/>
      </c>
    </row>
    <row r="111" spans="1:25" x14ac:dyDescent="0.3">
      <c r="A111" s="4">
        <f t="shared" si="14"/>
        <v>705</v>
      </c>
      <c r="B111" s="4">
        <f>LOOKUP(A111, ALLCAMPERS!$A$11:$A$311, ALLCAMPERS!$B$11:$B$311)</f>
        <v>7</v>
      </c>
      <c r="C111" s="4">
        <f>LOOKUP(A111, ALLCAMPERS!$A$11:$A$311, ALLCAMPERS!$C$11:$C$311)</f>
        <v>5</v>
      </c>
      <c r="D111" s="4" t="str">
        <f>LOOKUP(A111, ALLCAMPERS!$A$11:$A$311, ALLCAMPERS!$D$11:$D$311)</f>
        <v>Julie</v>
      </c>
      <c r="E111" s="4" t="str">
        <f>LOOKUP(A111, ALLCAMPERS!$A$11:$A$311, ALLCAMPERS!$E$11:$E$311)</f>
        <v>KHOURY</v>
      </c>
      <c r="F111" s="4" t="str">
        <f>IF(LOOKUP($A111, ALLCAMPERS!$A$11:$A$311, ALLCAMPERS!F$11:F$311) = 0, "", LOOKUP($A111, ALLCAMPERS!$A$11:$A$311, ALLCAMPERS!F$11:F$311))</f>
        <v/>
      </c>
      <c r="G111" s="4">
        <f>IF(LOOKUP($A111, ALLCAMPERS!$A$11:$A$311, ALLCAMPERS!G$11:G$311) = 0, "", LOOKUP($A111, ALLCAMPERS!$A$11:$A$311, ALLCAMPERS!G$11:G$311))</f>
        <v>6</v>
      </c>
      <c r="H111" s="4">
        <f>IF(LOOKUP($A111, ALLCAMPERS!$A$11:$A$311, ALLCAMPERS!H$11:H$311) = 0, "", LOOKUP($A111, ALLCAMPERS!$A$11:$A$311, ALLCAMPERS!H$11:H$311))</f>
        <v>4</v>
      </c>
      <c r="I111" s="4">
        <f>IF(LOOKUP($A111, ALLCAMPERS!$A$11:$A$311, ALLCAMPERS!I$11:I$311) = 0, "", LOOKUP($A111, ALLCAMPERS!$A$11:$A$311, ALLCAMPERS!I$11:I$311))</f>
        <v>5</v>
      </c>
      <c r="J111" s="4">
        <f>IF(LOOKUP($A111, ALLCAMPERS!$A$11:$A$311, ALLCAMPERS!J$11:J$311) = 0, "", LOOKUP($A111, ALLCAMPERS!$A$11:$A$311, ALLCAMPERS!J$11:J$311))</f>
        <v>6</v>
      </c>
      <c r="K111" s="4" t="str">
        <f>IF(LOOKUP($A111, ALLCAMPERS!$A$11:$A$311, ALLCAMPERS!K$11:K$311) = 0, "", LOOKUP($A111, ALLCAMPERS!$A$11:$A$311, ALLCAMPERS!K$11:K$311))</f>
        <v/>
      </c>
      <c r="L111" s="4" t="str">
        <f>IF(LOOKUP($A111, ALLCAMPERS!$A$11:$A$311, ALLCAMPERS!L$11:L$311) = 0, "", LOOKUP($A111, ALLCAMPERS!$A$11:$A$311, ALLCAMPERS!L$11:L$311))</f>
        <v/>
      </c>
      <c r="N111" s="4">
        <f t="shared" si="15"/>
        <v>1705</v>
      </c>
      <c r="O111" s="4">
        <f>LOOKUP(N111, ALLCAMPERS!$A$11:$A$311, ALLCAMPERS!$B$11:$B$311)</f>
        <v>17</v>
      </c>
      <c r="P111" s="4">
        <f>LOOKUP(N111, ALLCAMPERS!$A$11:$A$311, ALLCAMPERS!$C$11:$C$311)</f>
        <v>5</v>
      </c>
      <c r="Q111" s="4" t="str">
        <f>LOOKUP(N111, ALLCAMPERS!$A$11:$A$311, ALLCAMPERS!$D$11:$D$311)</f>
        <v>Andro</v>
      </c>
      <c r="R111" s="4" t="str">
        <f>LOOKUP(N111, ALLCAMPERS!$A$11:$A$311, ALLCAMPERS!$E$11:$E$311)</f>
        <v>ABOU MRAD</v>
      </c>
      <c r="S111" s="4" t="str">
        <f>IF(LOOKUP($N111, ALLCAMPERS!$A$11:$A$311, ALLCAMPERS!F$11:F$311) = 0, "", LOOKUP($N111, ALLCAMPERS!$A$11:$A$311, ALLCAMPERS!F$11:F$311))</f>
        <v/>
      </c>
      <c r="T111" s="4">
        <f>IF(LOOKUP($N111, ALLCAMPERS!$A$11:$A$311, ALLCAMPERS!G$11:G$311) = 0, "", LOOKUP($N111, ALLCAMPERS!$A$11:$A$311, ALLCAMPERS!G$11:G$311))</f>
        <v>5</v>
      </c>
      <c r="U111" s="4">
        <f>IF(LOOKUP($N111, ALLCAMPERS!$A$11:$A$311, ALLCAMPERS!H$11:H$311) = 0, "", LOOKUP($N111, ALLCAMPERS!$A$11:$A$311, ALLCAMPERS!H$11:H$311))</f>
        <v>2</v>
      </c>
      <c r="V111" s="4">
        <f>IF(LOOKUP($N111, ALLCAMPERS!$A$11:$A$311, ALLCAMPERS!I$11:I$311) = 0, "", LOOKUP($N111, ALLCAMPERS!$A$11:$A$311, ALLCAMPERS!I$11:I$311))</f>
        <v>2</v>
      </c>
      <c r="W111" s="4">
        <f>IF(LOOKUP($N111, ALLCAMPERS!$A$11:$A$311, ALLCAMPERS!J$11:J$311) = 0, "", LOOKUP($N111, ALLCAMPERS!$A$11:$A$311, ALLCAMPERS!J$11:J$311))</f>
        <v>7</v>
      </c>
      <c r="X111" s="4" t="str">
        <f>IF(LOOKUP($N111, ALLCAMPERS!$A$11:$A$311, ALLCAMPERS!K$11:K$311) = 0, "", LOOKUP($N111, ALLCAMPERS!$A$11:$A$311, ALLCAMPERS!K$11:K$311))</f>
        <v/>
      </c>
      <c r="Y111" s="4" t="str">
        <f>IF(LOOKUP($N111, ALLCAMPERS!$A$11:$A$311, ALLCAMPERS!L$11:L$311) = 0, "", LOOKUP($N111, ALLCAMPERS!$A$11:$A$311, ALLCAMPERS!L$11:L$311))</f>
        <v/>
      </c>
    </row>
    <row r="112" spans="1:25" x14ac:dyDescent="0.3">
      <c r="N112" s="4">
        <f t="shared" si="15"/>
        <v>1706</v>
      </c>
      <c r="O112" s="4">
        <f>LOOKUP(N112, ALLCAMPERS!$A$11:$A$311, ALLCAMPERS!$B$11:$B$311)</f>
        <v>17</v>
      </c>
      <c r="P112" s="4">
        <f>LOOKUP(N112, ALLCAMPERS!$A$11:$A$311, ALLCAMPERS!$C$11:$C$311)</f>
        <v>6</v>
      </c>
      <c r="Q112" s="4" t="str">
        <f>LOOKUP(N112, ALLCAMPERS!$A$11:$A$311, ALLCAMPERS!$D$11:$D$311)</f>
        <v>Nicolas</v>
      </c>
      <c r="R112" s="4" t="str">
        <f>LOOKUP(N112, ALLCAMPERS!$A$11:$A$311, ALLCAMPERS!$E$11:$E$311)</f>
        <v>DABABNEH</v>
      </c>
      <c r="S112" s="4" t="str">
        <f>IF(LOOKUP($N112, ALLCAMPERS!$A$11:$A$311, ALLCAMPERS!F$11:F$311) = 0, "", LOOKUP($N112, ALLCAMPERS!$A$11:$A$311, ALLCAMPERS!F$11:F$311))</f>
        <v/>
      </c>
      <c r="T112" s="4">
        <f>IF(LOOKUP($N112, ALLCAMPERS!$A$11:$A$311, ALLCAMPERS!G$11:G$311) = 0, "", LOOKUP($N112, ALLCAMPERS!$A$11:$A$311, ALLCAMPERS!G$11:G$311))</f>
        <v>4</v>
      </c>
      <c r="U112" s="4">
        <f>IF(LOOKUP($N112, ALLCAMPERS!$A$11:$A$311, ALLCAMPERS!H$11:H$311) = 0, "", LOOKUP($N112, ALLCAMPERS!$A$11:$A$311, ALLCAMPERS!H$11:H$311))</f>
        <v>6</v>
      </c>
      <c r="V112" s="4">
        <f>IF(LOOKUP($N112, ALLCAMPERS!$A$11:$A$311, ALLCAMPERS!I$11:I$311) = 0, "", LOOKUP($N112, ALLCAMPERS!$A$11:$A$311, ALLCAMPERS!I$11:I$311))</f>
        <v>1</v>
      </c>
      <c r="W112" s="4">
        <f>IF(LOOKUP($N112, ALLCAMPERS!$A$11:$A$311, ALLCAMPERS!J$11:J$311) = 0, "", LOOKUP($N112, ALLCAMPERS!$A$11:$A$311, ALLCAMPERS!J$11:J$311))</f>
        <v>4</v>
      </c>
      <c r="X112" s="4" t="str">
        <f>IF(LOOKUP($N112, ALLCAMPERS!$A$11:$A$311, ALLCAMPERS!K$11:K$311) = 0, "", LOOKUP($N112, ALLCAMPERS!$A$11:$A$311, ALLCAMPERS!K$11:K$311))</f>
        <v/>
      </c>
      <c r="Y112" s="4" t="str">
        <f>IF(LOOKUP($N112, ALLCAMPERS!$A$11:$A$311, ALLCAMPERS!L$11:L$311) = 0, "", LOOKUP($N112, ALLCAMPERS!$A$11:$A$311, ALLCAMPERS!L$11:L$311))</f>
        <v/>
      </c>
    </row>
    <row r="113" spans="1:25" x14ac:dyDescent="0.3">
      <c r="N113" s="4">
        <f t="shared" si="15"/>
        <v>1707</v>
      </c>
      <c r="O113" s="4">
        <f>LOOKUP(N113, ALLCAMPERS!$A$11:$A$311, ALLCAMPERS!$B$11:$B$311)</f>
        <v>17</v>
      </c>
      <c r="P113" s="4">
        <f>LOOKUP(N113, ALLCAMPERS!$A$11:$A$311, ALLCAMPERS!$C$11:$C$311)</f>
        <v>7</v>
      </c>
      <c r="Q113" s="4" t="str">
        <f>LOOKUP(N113, ALLCAMPERS!$A$11:$A$311, ALLCAMPERS!$D$11:$D$311)</f>
        <v>Youhana</v>
      </c>
      <c r="R113" s="4" t="str">
        <f>LOOKUP(N113, ALLCAMPERS!$A$11:$A$311, ALLCAMPERS!$E$11:$E$311)</f>
        <v>ABBOUD</v>
      </c>
      <c r="S113" s="4" t="str">
        <f>IF(LOOKUP($N113, ALLCAMPERS!$A$11:$A$311, ALLCAMPERS!F$11:F$311) = 0, "", LOOKUP($N113, ALLCAMPERS!$A$11:$A$311, ALLCAMPERS!F$11:F$311))</f>
        <v/>
      </c>
      <c r="T113" s="4">
        <f>IF(LOOKUP($N113, ALLCAMPERS!$A$11:$A$311, ALLCAMPERS!G$11:G$311) = 0, "", LOOKUP($N113, ALLCAMPERS!$A$11:$A$311, ALLCAMPERS!G$11:G$311))</f>
        <v>6</v>
      </c>
      <c r="U113" s="4">
        <f>IF(LOOKUP($N113, ALLCAMPERS!$A$11:$A$311, ALLCAMPERS!H$11:H$311) = 0, "", LOOKUP($N113, ALLCAMPERS!$A$11:$A$311, ALLCAMPERS!H$11:H$311))</f>
        <v>4</v>
      </c>
      <c r="V113" s="4">
        <f>IF(LOOKUP($N113, ALLCAMPERS!$A$11:$A$311, ALLCAMPERS!I$11:I$311) = 0, "", LOOKUP($N113, ALLCAMPERS!$A$11:$A$311, ALLCAMPERS!I$11:I$311))</f>
        <v>5</v>
      </c>
      <c r="W113" s="4">
        <f>IF(LOOKUP($N113, ALLCAMPERS!$A$11:$A$311, ALLCAMPERS!J$11:J$311) = 0, "", LOOKUP($N113, ALLCAMPERS!$A$11:$A$311, ALLCAMPERS!J$11:J$311))</f>
        <v>7</v>
      </c>
      <c r="X113" s="4" t="str">
        <f>IF(LOOKUP($N113, ALLCAMPERS!$A$11:$A$311, ALLCAMPERS!K$11:K$311) = 0, "", LOOKUP($N113, ALLCAMPERS!$A$11:$A$311, ALLCAMPERS!K$11:K$311))</f>
        <v/>
      </c>
      <c r="Y113" s="4" t="str">
        <f>IF(LOOKUP($N113, ALLCAMPERS!$A$11:$A$311, ALLCAMPERS!L$11:L$311) = 0, "", LOOKUP($N113, ALLCAMPERS!$A$11:$A$311, ALLCAMPERS!L$11:L$311))</f>
        <v/>
      </c>
    </row>
    <row r="114" spans="1:25" x14ac:dyDescent="0.3">
      <c r="N114" s="4">
        <f t="shared" si="15"/>
        <v>1708</v>
      </c>
      <c r="O114" s="4">
        <f>LOOKUP(N114, ALLCAMPERS!$A$11:$A$311, ALLCAMPERS!$B$11:$B$311)</f>
        <v>17</v>
      </c>
      <c r="P114" s="4">
        <f>LOOKUP(N114, ALLCAMPERS!$A$11:$A$311, ALLCAMPERS!$C$11:$C$311)</f>
        <v>8</v>
      </c>
      <c r="Q114" s="4" t="str">
        <f>LOOKUP(N114, ALLCAMPERS!$A$11:$A$311, ALLCAMPERS!$D$11:$D$311)</f>
        <v>Nasser</v>
      </c>
      <c r="R114" s="4" t="str">
        <f>LOOKUP(N114, ALLCAMPERS!$A$11:$A$311, ALLCAMPERS!$E$11:$E$311)</f>
        <v>KHOURY</v>
      </c>
      <c r="S114" s="4" t="str">
        <f>IF(LOOKUP($N114, ALLCAMPERS!$A$11:$A$311, ALLCAMPERS!F$11:F$311) = 0, "", LOOKUP($N114, ALLCAMPERS!$A$11:$A$311, ALLCAMPERS!F$11:F$311))</f>
        <v/>
      </c>
      <c r="T114" s="4">
        <f>IF(LOOKUP($N114, ALLCAMPERS!$A$11:$A$311, ALLCAMPERS!G$11:G$311) = 0, "", LOOKUP($N114, ALLCAMPERS!$A$11:$A$311, ALLCAMPERS!G$11:G$311))</f>
        <v>3</v>
      </c>
      <c r="U114" s="4">
        <f>IF(LOOKUP($N114, ALLCAMPERS!$A$11:$A$311, ALLCAMPERS!H$11:H$311) = 0, "", LOOKUP($N114, ALLCAMPERS!$A$11:$A$311, ALLCAMPERS!H$11:H$311))</f>
        <v>2</v>
      </c>
      <c r="V114" s="4">
        <f>IF(LOOKUP($N114, ALLCAMPERS!$A$11:$A$311, ALLCAMPERS!I$11:I$311) = 0, "", LOOKUP($N114, ALLCAMPERS!$A$11:$A$311, ALLCAMPERS!I$11:I$311))</f>
        <v>7</v>
      </c>
      <c r="W114" s="4">
        <f>IF(LOOKUP($N114, ALLCAMPERS!$A$11:$A$311, ALLCAMPERS!J$11:J$311) = 0, "", LOOKUP($N114, ALLCAMPERS!$A$11:$A$311, ALLCAMPERS!J$11:J$311))</f>
        <v>5</v>
      </c>
      <c r="X114" s="4" t="str">
        <f>IF(LOOKUP($N114, ALLCAMPERS!$A$11:$A$311, ALLCAMPERS!K$11:K$311) = 0, "", LOOKUP($N114, ALLCAMPERS!$A$11:$A$311, ALLCAMPERS!K$11:K$311))</f>
        <v/>
      </c>
      <c r="Y114" s="4" t="str">
        <f>IF(LOOKUP($N114, ALLCAMPERS!$A$11:$A$311, ALLCAMPERS!L$11:L$311) = 0, "", LOOKUP($N114, ALLCAMPERS!$A$11:$A$311, ALLCAMPERS!L$11:L$311))</f>
        <v/>
      </c>
    </row>
    <row r="115" spans="1:25" x14ac:dyDescent="0.3">
      <c r="N115" s="4">
        <f t="shared" si="15"/>
        <v>1709</v>
      </c>
      <c r="O115" s="4">
        <f>LOOKUP(N115, ALLCAMPERS!$A$11:$A$311, ALLCAMPERS!$B$11:$B$311)</f>
        <v>17</v>
      </c>
      <c r="P115" s="4">
        <f>LOOKUP(N115, ALLCAMPERS!$A$11:$A$311, ALLCAMPERS!$C$11:$C$311)</f>
        <v>9</v>
      </c>
      <c r="Q115" s="4" t="str">
        <f>LOOKUP(N115, ALLCAMPERS!$A$11:$A$311, ALLCAMPERS!$D$11:$D$311)</f>
        <v>Badia</v>
      </c>
      <c r="R115" s="4" t="str">
        <f>LOOKUP(N115, ALLCAMPERS!$A$11:$A$311, ALLCAMPERS!$E$11:$E$311)</f>
        <v>DGLAWY</v>
      </c>
      <c r="S115" s="4" t="str">
        <f>IF(LOOKUP($N115, ALLCAMPERS!$A$11:$A$311, ALLCAMPERS!F$11:F$311) = 0, "", LOOKUP($N115, ALLCAMPERS!$A$11:$A$311, ALLCAMPERS!F$11:F$311))</f>
        <v/>
      </c>
      <c r="T115" s="4">
        <f>IF(LOOKUP($N115, ALLCAMPERS!$A$11:$A$311, ALLCAMPERS!G$11:G$311) = 0, "", LOOKUP($N115, ALLCAMPERS!$A$11:$A$311, ALLCAMPERS!G$11:G$311))</f>
        <v>4</v>
      </c>
      <c r="U115" s="4">
        <f>IF(LOOKUP($N115, ALLCAMPERS!$A$11:$A$311, ALLCAMPERS!H$11:H$311) = 0, "", LOOKUP($N115, ALLCAMPERS!$A$11:$A$311, ALLCAMPERS!H$11:H$311))</f>
        <v>3</v>
      </c>
      <c r="V115" s="4">
        <f>IF(LOOKUP($N115, ALLCAMPERS!$A$11:$A$311, ALLCAMPERS!I$11:I$311) = 0, "", LOOKUP($N115, ALLCAMPERS!$A$11:$A$311, ALLCAMPERS!I$11:I$311))</f>
        <v>7</v>
      </c>
      <c r="W115" s="4">
        <f>IF(LOOKUP($N115, ALLCAMPERS!$A$11:$A$311, ALLCAMPERS!J$11:J$311) = 0, "", LOOKUP($N115, ALLCAMPERS!$A$11:$A$311, ALLCAMPERS!J$11:J$311))</f>
        <v>4</v>
      </c>
      <c r="X115" s="4" t="str">
        <f>IF(LOOKUP($N115, ALLCAMPERS!$A$11:$A$311, ALLCAMPERS!K$11:K$311) = 0, "", LOOKUP($N115, ALLCAMPERS!$A$11:$A$311, ALLCAMPERS!K$11:K$311))</f>
        <v/>
      </c>
      <c r="Y115" s="4" t="str">
        <f>IF(LOOKUP($N115, ALLCAMPERS!$A$11:$A$311, ALLCAMPERS!L$11:L$311) = 0, "", LOOKUP($N115, ALLCAMPERS!$A$11:$A$311, ALLCAMPERS!L$11:L$311))</f>
        <v/>
      </c>
    </row>
    <row r="116" spans="1:25" x14ac:dyDescent="0.3">
      <c r="N116" s="4">
        <f t="shared" si="15"/>
        <v>1710</v>
      </c>
      <c r="O116" s="4">
        <f>LOOKUP(N116, ALLCAMPERS!$A$11:$A$311, ALLCAMPERS!$B$11:$B$311)</f>
        <v>17</v>
      </c>
      <c r="P116" s="4">
        <f>LOOKUP(N116, ALLCAMPERS!$A$11:$A$311, ALLCAMPERS!$C$11:$C$311)</f>
        <v>10</v>
      </c>
      <c r="Q116" s="4" t="str">
        <f>LOOKUP(N116, ALLCAMPERS!$A$11:$A$311, ALLCAMPERS!$D$11:$D$311)</f>
        <v>Adam</v>
      </c>
      <c r="R116" s="4" t="str">
        <f>LOOKUP(N116, ALLCAMPERS!$A$11:$A$311, ALLCAMPERS!$E$11:$E$311)</f>
        <v>TANNOUS</v>
      </c>
      <c r="S116" s="4" t="str">
        <f>IF(LOOKUP($N116, ALLCAMPERS!$A$11:$A$311, ALLCAMPERS!F$11:F$311) = 0, "", LOOKUP($N116, ALLCAMPERS!$A$11:$A$311, ALLCAMPERS!F$11:F$311))</f>
        <v/>
      </c>
      <c r="T116" s="4">
        <f>IF(LOOKUP($N116, ALLCAMPERS!$A$11:$A$311, ALLCAMPERS!G$11:G$311) = 0, "", LOOKUP($N116, ALLCAMPERS!$A$11:$A$311, ALLCAMPERS!G$11:G$311))</f>
        <v>4</v>
      </c>
      <c r="U116" s="4">
        <f>IF(LOOKUP($N116, ALLCAMPERS!$A$11:$A$311, ALLCAMPERS!H$11:H$311) = 0, "", LOOKUP($N116, ALLCAMPERS!$A$11:$A$311, ALLCAMPERS!H$11:H$311))</f>
        <v>6</v>
      </c>
      <c r="V116" s="4">
        <f>IF(LOOKUP($N116, ALLCAMPERS!$A$11:$A$311, ALLCAMPERS!I$11:I$311) = 0, "", LOOKUP($N116, ALLCAMPERS!$A$11:$A$311, ALLCAMPERS!I$11:I$311))</f>
        <v>5</v>
      </c>
      <c r="W116" s="4">
        <f>IF(LOOKUP($N116, ALLCAMPERS!$A$11:$A$311, ALLCAMPERS!J$11:J$311) = 0, "", LOOKUP($N116, ALLCAMPERS!$A$11:$A$311, ALLCAMPERS!J$11:J$311))</f>
        <v>1</v>
      </c>
      <c r="X116" s="4" t="str">
        <f>IF(LOOKUP($N116, ALLCAMPERS!$A$11:$A$311, ALLCAMPERS!K$11:K$311) = 0, "", LOOKUP($N116, ALLCAMPERS!$A$11:$A$311, ALLCAMPERS!K$11:K$311))</f>
        <v/>
      </c>
      <c r="Y116" s="4" t="str">
        <f>IF(LOOKUP($N116, ALLCAMPERS!$A$11:$A$311, ALLCAMPERS!L$11:L$311) = 0, "", LOOKUP($N116, ALLCAMPERS!$A$11:$A$311, ALLCAMPERS!L$11:L$311))</f>
        <v/>
      </c>
    </row>
    <row r="124" spans="1:25" ht="28.8" x14ac:dyDescent="0.3">
      <c r="A124" s="16" t="s">
        <v>0</v>
      </c>
      <c r="B124" s="16" t="s">
        <v>1</v>
      </c>
      <c r="C124" s="16" t="s">
        <v>76</v>
      </c>
      <c r="D124" s="16" t="s">
        <v>2</v>
      </c>
      <c r="E124" s="16" t="s">
        <v>3</v>
      </c>
      <c r="F124" s="16" t="s">
        <v>16</v>
      </c>
      <c r="G124" s="16" t="s">
        <v>311</v>
      </c>
      <c r="H124" s="16" t="s">
        <v>312</v>
      </c>
      <c r="I124" s="16" t="s">
        <v>313</v>
      </c>
      <c r="J124" s="16" t="s">
        <v>314</v>
      </c>
      <c r="K124" s="16" t="s">
        <v>87</v>
      </c>
      <c r="L124" s="16" t="s">
        <v>88</v>
      </c>
      <c r="M124" s="16"/>
      <c r="N124" s="16" t="s">
        <v>0</v>
      </c>
      <c r="O124" s="16" t="s">
        <v>1</v>
      </c>
      <c r="P124" s="16" t="s">
        <v>76</v>
      </c>
      <c r="Q124" s="16" t="s">
        <v>2</v>
      </c>
      <c r="R124" s="16" t="s">
        <v>3</v>
      </c>
      <c r="S124" s="16" t="s">
        <v>16</v>
      </c>
      <c r="T124" s="16" t="s">
        <v>311</v>
      </c>
      <c r="U124" s="16" t="s">
        <v>312</v>
      </c>
      <c r="V124" s="16" t="s">
        <v>313</v>
      </c>
      <c r="W124" s="16" t="s">
        <v>314</v>
      </c>
      <c r="X124" s="16" t="s">
        <v>87</v>
      </c>
      <c r="Y124" s="16" t="s">
        <v>88</v>
      </c>
    </row>
    <row r="125" spans="1:25" x14ac:dyDescent="0.3">
      <c r="A125" s="4">
        <v>801</v>
      </c>
      <c r="B125" s="4">
        <f>LOOKUP(A125, ALLCAMPERS!$A$11:$A$311, ALLCAMPERS!$B$11:$B$311)</f>
        <v>8</v>
      </c>
      <c r="C125" s="4">
        <f>LOOKUP(A125, ALLCAMPERS!$A$11:$A$311, ALLCAMPERS!$C$11:$C$311)</f>
        <v>1</v>
      </c>
      <c r="D125" s="4" t="str">
        <f>LOOKUP(A125, ALLCAMPERS!$A$11:$A$311, ALLCAMPERS!$D$11:$D$311)</f>
        <v>Jasmine</v>
      </c>
      <c r="E125" s="4" t="str">
        <f>LOOKUP(A125, ALLCAMPERS!$A$11:$A$311, ALLCAMPERS!$E$11:$E$311)</f>
        <v>MONSOUR</v>
      </c>
      <c r="F125" s="4" t="str">
        <f>IF(LOOKUP($A125, ALLCAMPERS!$A$11:$A$311, ALLCAMPERS!F$11:F$311) = 0, "", LOOKUP($A125, ALLCAMPERS!$A$11:$A$311, ALLCAMPERS!F$11:F$311))</f>
        <v/>
      </c>
      <c r="G125" s="4">
        <f>IF(LOOKUP($A125, ALLCAMPERS!$A$11:$A$311, ALLCAMPERS!G$11:G$311) = 0, "", LOOKUP($A125, ALLCAMPERS!$A$11:$A$311, ALLCAMPERS!G$11:G$311))</f>
        <v>1</v>
      </c>
      <c r="H125" s="4">
        <f>IF(LOOKUP($A125, ALLCAMPERS!$A$11:$A$311, ALLCAMPERS!H$11:H$311) = 0, "", LOOKUP($A125, ALLCAMPERS!$A$11:$A$311, ALLCAMPERS!H$11:H$311))</f>
        <v>1</v>
      </c>
      <c r="I125" s="4">
        <f>IF(LOOKUP($A125, ALLCAMPERS!$A$11:$A$311, ALLCAMPERS!I$11:I$311) = 0, "", LOOKUP($A125, ALLCAMPERS!$A$11:$A$311, ALLCAMPERS!I$11:I$311))</f>
        <v>6</v>
      </c>
      <c r="J125" s="4">
        <f>IF(LOOKUP($A125, ALLCAMPERS!$A$11:$A$311, ALLCAMPERS!J$11:J$311) = 0, "", LOOKUP($A125, ALLCAMPERS!$A$11:$A$311, ALLCAMPERS!J$11:J$311))</f>
        <v>6</v>
      </c>
      <c r="K125" s="4" t="str">
        <f>IF(LOOKUP($A125, ALLCAMPERS!$A$11:$A$311, ALLCAMPERS!K$11:K$311) = 0, "", LOOKUP($A125, ALLCAMPERS!$A$11:$A$311, ALLCAMPERS!K$11:K$311))</f>
        <v/>
      </c>
      <c r="L125" s="4" t="str">
        <f>IF(LOOKUP($A125, ALLCAMPERS!$A$11:$A$311, ALLCAMPERS!L$11:L$311) = 0, "", LOOKUP($A125, ALLCAMPERS!$A$11:$A$311, ALLCAMPERS!L$11:L$311))</f>
        <v/>
      </c>
      <c r="N125" s="4">
        <f>A125+1000</f>
        <v>1801</v>
      </c>
      <c r="O125" s="4">
        <f>LOOKUP(N125, ALLCAMPERS!$A$11:$A$311, ALLCAMPERS!$B$11:$B$311)</f>
        <v>18</v>
      </c>
      <c r="P125" s="4">
        <f>LOOKUP(N125, ALLCAMPERS!$A$11:$A$311, ALLCAMPERS!$C$11:$C$311)</f>
        <v>1</v>
      </c>
      <c r="Q125" s="4" t="str">
        <f>LOOKUP(N125, ALLCAMPERS!$A$11:$A$311, ALLCAMPERS!$D$11:$D$311)</f>
        <v>Philippe</v>
      </c>
      <c r="R125" s="4" t="str">
        <f>LOOKUP(N125, ALLCAMPERS!$A$11:$A$311, ALLCAMPERS!$E$11:$E$311)</f>
        <v>ESNI</v>
      </c>
      <c r="S125" s="4" t="str">
        <f>IF(LOOKUP($N125, ALLCAMPERS!$A$11:$A$311, ALLCAMPERS!F$11:F$311) = 0, "", LOOKUP($N125, ALLCAMPERS!$A$11:$A$311, ALLCAMPERS!F$11:F$311))</f>
        <v/>
      </c>
      <c r="T125" s="4">
        <f>IF(LOOKUP($N125, ALLCAMPERS!$A$11:$A$311, ALLCAMPERS!G$11:G$311) = 0, "", LOOKUP($N125, ALLCAMPERS!$A$11:$A$311, ALLCAMPERS!G$11:G$311))</f>
        <v>3</v>
      </c>
      <c r="U125" s="4">
        <f>IF(LOOKUP($N125, ALLCAMPERS!$A$11:$A$311, ALLCAMPERS!H$11:H$311) = 0, "", LOOKUP($N125, ALLCAMPERS!$A$11:$A$311, ALLCAMPERS!H$11:H$311))</f>
        <v>4</v>
      </c>
      <c r="V125" s="4">
        <f>IF(LOOKUP($N125, ALLCAMPERS!$A$11:$A$311, ALLCAMPERS!I$11:I$311) = 0, "", LOOKUP($N125, ALLCAMPERS!$A$11:$A$311, ALLCAMPERS!I$11:I$311))</f>
        <v>6</v>
      </c>
      <c r="W125" s="4">
        <f>IF(LOOKUP($N125, ALLCAMPERS!$A$11:$A$311, ALLCAMPERS!J$11:J$311) = 0, "", LOOKUP($N125, ALLCAMPERS!$A$11:$A$311, ALLCAMPERS!J$11:J$311))</f>
        <v>3</v>
      </c>
      <c r="X125" s="4" t="str">
        <f>IF(LOOKUP($N125, ALLCAMPERS!$A$11:$A$311, ALLCAMPERS!K$11:K$311) = 0, "", LOOKUP($N125, ALLCAMPERS!$A$11:$A$311, ALLCAMPERS!K$11:K$311))</f>
        <v/>
      </c>
      <c r="Y125" s="4" t="str">
        <f>IF(LOOKUP($N125, ALLCAMPERS!$A$11:$A$311, ALLCAMPERS!L$11:L$311) = 0, "", LOOKUP($N125, ALLCAMPERS!$A$11:$A$311, ALLCAMPERS!L$11:L$311))</f>
        <v/>
      </c>
    </row>
    <row r="126" spans="1:25" x14ac:dyDescent="0.3">
      <c r="A126" s="4">
        <f>A125+1</f>
        <v>802</v>
      </c>
      <c r="B126" s="4">
        <f>LOOKUP(A126, ALLCAMPERS!$A$11:$A$311, ALLCAMPERS!$B$11:$B$311)</f>
        <v>8</v>
      </c>
      <c r="C126" s="4">
        <f>LOOKUP(A126, ALLCAMPERS!$A$11:$A$311, ALLCAMPERS!$C$11:$C$311)</f>
        <v>2</v>
      </c>
      <c r="D126" s="4" t="str">
        <f>LOOKUP(A126, ALLCAMPERS!$A$11:$A$311, ALLCAMPERS!$D$11:$D$311)</f>
        <v>Serena</v>
      </c>
      <c r="E126" s="4" t="str">
        <f>LOOKUP(A126, ALLCAMPERS!$A$11:$A$311, ALLCAMPERS!$E$11:$E$311)</f>
        <v>KHOURY</v>
      </c>
      <c r="F126" s="4" t="str">
        <f>IF(LOOKUP($A126, ALLCAMPERS!$A$11:$A$311, ALLCAMPERS!F$11:F$311) = 0, "", LOOKUP($A126, ALLCAMPERS!$A$11:$A$311, ALLCAMPERS!F$11:F$311))</f>
        <v/>
      </c>
      <c r="G126" s="4">
        <f>IF(LOOKUP($A126, ALLCAMPERS!$A$11:$A$311, ALLCAMPERS!G$11:G$311) = 0, "", LOOKUP($A126, ALLCAMPERS!$A$11:$A$311, ALLCAMPERS!G$11:G$311))</f>
        <v>3</v>
      </c>
      <c r="H126" s="4">
        <f>IF(LOOKUP($A126, ALLCAMPERS!$A$11:$A$311, ALLCAMPERS!H$11:H$311) = 0, "", LOOKUP($A126, ALLCAMPERS!$A$11:$A$311, ALLCAMPERS!H$11:H$311))</f>
        <v>1</v>
      </c>
      <c r="I126" s="4">
        <f>IF(LOOKUP($A126, ALLCAMPERS!$A$11:$A$311, ALLCAMPERS!I$11:I$311) = 0, "", LOOKUP($A126, ALLCAMPERS!$A$11:$A$311, ALLCAMPERS!I$11:I$311))</f>
        <v>6</v>
      </c>
      <c r="J126" s="4">
        <f>IF(LOOKUP($A126, ALLCAMPERS!$A$11:$A$311, ALLCAMPERS!J$11:J$311) = 0, "", LOOKUP($A126, ALLCAMPERS!$A$11:$A$311, ALLCAMPERS!J$11:J$311))</f>
        <v>5</v>
      </c>
      <c r="K126" s="4" t="str">
        <f>IF(LOOKUP($A126, ALLCAMPERS!$A$11:$A$311, ALLCAMPERS!K$11:K$311) = 0, "", LOOKUP($A126, ALLCAMPERS!$A$11:$A$311, ALLCAMPERS!K$11:K$311))</f>
        <v/>
      </c>
      <c r="L126" s="4" t="str">
        <f>IF(LOOKUP($A126, ALLCAMPERS!$A$11:$A$311, ALLCAMPERS!L$11:L$311) = 0, "", LOOKUP($A126, ALLCAMPERS!$A$11:$A$311, ALLCAMPERS!L$11:L$311))</f>
        <v/>
      </c>
      <c r="N126" s="4">
        <f>N125+1</f>
        <v>1802</v>
      </c>
      <c r="O126" s="4">
        <f>LOOKUP(N126, ALLCAMPERS!$A$11:$A$311, ALLCAMPERS!$B$11:$B$311)</f>
        <v>18</v>
      </c>
      <c r="P126" s="4">
        <f>LOOKUP(N126, ALLCAMPERS!$A$11:$A$311, ALLCAMPERS!$C$11:$C$311)</f>
        <v>2</v>
      </c>
      <c r="Q126" s="4" t="str">
        <f>LOOKUP(N126, ALLCAMPERS!$A$11:$A$311, ALLCAMPERS!$D$11:$D$311)</f>
        <v>Anthony</v>
      </c>
      <c r="R126" s="4" t="str">
        <f>LOOKUP(N126, ALLCAMPERS!$A$11:$A$311, ALLCAMPERS!$E$11:$E$311)</f>
        <v>AZAKIE</v>
      </c>
      <c r="S126" s="4" t="str">
        <f>IF(LOOKUP($N126, ALLCAMPERS!$A$11:$A$311, ALLCAMPERS!F$11:F$311) = 0, "", LOOKUP($N126, ALLCAMPERS!$A$11:$A$311, ALLCAMPERS!F$11:F$311))</f>
        <v/>
      </c>
      <c r="T126" s="4">
        <f>IF(LOOKUP($N126, ALLCAMPERS!$A$11:$A$311, ALLCAMPERS!G$11:G$311) = 0, "", LOOKUP($N126, ALLCAMPERS!$A$11:$A$311, ALLCAMPERS!G$11:G$311))</f>
        <v>5</v>
      </c>
      <c r="U126" s="4">
        <f>IF(LOOKUP($N126, ALLCAMPERS!$A$11:$A$311, ALLCAMPERS!H$11:H$311) = 0, "", LOOKUP($N126, ALLCAMPERS!$A$11:$A$311, ALLCAMPERS!H$11:H$311))</f>
        <v>2</v>
      </c>
      <c r="V126" s="4">
        <f>IF(LOOKUP($N126, ALLCAMPERS!$A$11:$A$311, ALLCAMPERS!I$11:I$311) = 0, "", LOOKUP($N126, ALLCAMPERS!$A$11:$A$311, ALLCAMPERS!I$11:I$311))</f>
        <v>5</v>
      </c>
      <c r="W126" s="4">
        <f>IF(LOOKUP($N126, ALLCAMPERS!$A$11:$A$311, ALLCAMPERS!J$11:J$311) = 0, "", LOOKUP($N126, ALLCAMPERS!$A$11:$A$311, ALLCAMPERS!J$11:J$311))</f>
        <v>5</v>
      </c>
      <c r="X126" s="4" t="str">
        <f>IF(LOOKUP($N126, ALLCAMPERS!$A$11:$A$311, ALLCAMPERS!K$11:K$311) = 0, "", LOOKUP($N126, ALLCAMPERS!$A$11:$A$311, ALLCAMPERS!K$11:K$311))</f>
        <v/>
      </c>
      <c r="Y126" s="4" t="str">
        <f>IF(LOOKUP($N126, ALLCAMPERS!$A$11:$A$311, ALLCAMPERS!L$11:L$311) = 0, "", LOOKUP($N126, ALLCAMPERS!$A$11:$A$311, ALLCAMPERS!L$11:L$311))</f>
        <v/>
      </c>
    </row>
    <row r="127" spans="1:25" x14ac:dyDescent="0.3">
      <c r="A127" s="4">
        <f t="shared" ref="A127:A129" si="16">A126+1</f>
        <v>803</v>
      </c>
      <c r="B127" s="4">
        <f>LOOKUP(A127, ALLCAMPERS!$A$11:$A$311, ALLCAMPERS!$B$11:$B$311)</f>
        <v>8</v>
      </c>
      <c r="C127" s="4">
        <f>LOOKUP(A127, ALLCAMPERS!$A$11:$A$311, ALLCAMPERS!$C$11:$C$311)</f>
        <v>3</v>
      </c>
      <c r="D127" s="4" t="str">
        <f>LOOKUP(A127, ALLCAMPERS!$A$11:$A$311, ALLCAMPERS!$D$11:$D$311)</f>
        <v>Maria</v>
      </c>
      <c r="E127" s="4" t="str">
        <f>LOOKUP(A127, ALLCAMPERS!$A$11:$A$311, ALLCAMPERS!$E$11:$E$311)</f>
        <v>KHOURI</v>
      </c>
      <c r="F127" s="4" t="str">
        <f>IF(LOOKUP($A127, ALLCAMPERS!$A$11:$A$311, ALLCAMPERS!F$11:F$311) = 0, "", LOOKUP($A127, ALLCAMPERS!$A$11:$A$311, ALLCAMPERS!F$11:F$311))</f>
        <v/>
      </c>
      <c r="G127" s="4">
        <f>IF(LOOKUP($A127, ALLCAMPERS!$A$11:$A$311, ALLCAMPERS!G$11:G$311) = 0, "", LOOKUP($A127, ALLCAMPERS!$A$11:$A$311, ALLCAMPERS!G$11:G$311))</f>
        <v>6</v>
      </c>
      <c r="H127" s="4">
        <f>IF(LOOKUP($A127, ALLCAMPERS!$A$11:$A$311, ALLCAMPERS!H$11:H$311) = 0, "", LOOKUP($A127, ALLCAMPERS!$A$11:$A$311, ALLCAMPERS!H$11:H$311))</f>
        <v>6</v>
      </c>
      <c r="I127" s="4">
        <f>IF(LOOKUP($A127, ALLCAMPERS!$A$11:$A$311, ALLCAMPERS!I$11:I$311) = 0, "", LOOKUP($A127, ALLCAMPERS!$A$11:$A$311, ALLCAMPERS!I$11:I$311))</f>
        <v>2</v>
      </c>
      <c r="J127" s="4">
        <f>IF(LOOKUP($A127, ALLCAMPERS!$A$11:$A$311, ALLCAMPERS!J$11:J$311) = 0, "", LOOKUP($A127, ALLCAMPERS!$A$11:$A$311, ALLCAMPERS!J$11:J$311))</f>
        <v>1</v>
      </c>
      <c r="K127" s="4" t="str">
        <f>IF(LOOKUP($A127, ALLCAMPERS!$A$11:$A$311, ALLCAMPERS!K$11:K$311) = 0, "", LOOKUP($A127, ALLCAMPERS!$A$11:$A$311, ALLCAMPERS!K$11:K$311))</f>
        <v/>
      </c>
      <c r="L127" s="4" t="str">
        <f>IF(LOOKUP($A127, ALLCAMPERS!$A$11:$A$311, ALLCAMPERS!L$11:L$311) = 0, "", LOOKUP($A127, ALLCAMPERS!$A$11:$A$311, ALLCAMPERS!L$11:L$311))</f>
        <v/>
      </c>
      <c r="N127" s="4">
        <f t="shared" ref="N127:N134" si="17">N126+1</f>
        <v>1803</v>
      </c>
      <c r="O127" s="4">
        <f>LOOKUP(N127, ALLCAMPERS!$A$11:$A$311, ALLCAMPERS!$B$11:$B$311)</f>
        <v>18</v>
      </c>
      <c r="P127" s="4">
        <f>LOOKUP(N127, ALLCAMPERS!$A$11:$A$311, ALLCAMPERS!$C$11:$C$311)</f>
        <v>3</v>
      </c>
      <c r="Q127" s="4" t="str">
        <f>LOOKUP(N127, ALLCAMPERS!$A$11:$A$311, ALLCAMPERS!$D$11:$D$311)</f>
        <v>Mark</v>
      </c>
      <c r="R127" s="4" t="str">
        <f>LOOKUP(N127, ALLCAMPERS!$A$11:$A$311, ALLCAMPERS!$E$11:$E$311)</f>
        <v>YIGIT</v>
      </c>
      <c r="S127" s="4" t="str">
        <f>IF(LOOKUP($N127, ALLCAMPERS!$A$11:$A$311, ALLCAMPERS!F$11:F$311) = 0, "", LOOKUP($N127, ALLCAMPERS!$A$11:$A$311, ALLCAMPERS!F$11:F$311))</f>
        <v/>
      </c>
      <c r="T127" s="4">
        <f>IF(LOOKUP($N127, ALLCAMPERS!$A$11:$A$311, ALLCAMPERS!G$11:G$311) = 0, "", LOOKUP($N127, ALLCAMPERS!$A$11:$A$311, ALLCAMPERS!G$11:G$311))</f>
        <v>2</v>
      </c>
      <c r="U127" s="4">
        <f>IF(LOOKUP($N127, ALLCAMPERS!$A$11:$A$311, ALLCAMPERS!H$11:H$311) = 0, "", LOOKUP($N127, ALLCAMPERS!$A$11:$A$311, ALLCAMPERS!H$11:H$311))</f>
        <v>3</v>
      </c>
      <c r="V127" s="4">
        <f>IF(LOOKUP($N127, ALLCAMPERS!$A$11:$A$311, ALLCAMPERS!I$11:I$311) = 0, "", LOOKUP($N127, ALLCAMPERS!$A$11:$A$311, ALLCAMPERS!I$11:I$311))</f>
        <v>4</v>
      </c>
      <c r="W127" s="4">
        <f>IF(LOOKUP($N127, ALLCAMPERS!$A$11:$A$311, ALLCAMPERS!J$11:J$311) = 0, "", LOOKUP($N127, ALLCAMPERS!$A$11:$A$311, ALLCAMPERS!J$11:J$311))</f>
        <v>3</v>
      </c>
      <c r="X127" s="4" t="str">
        <f>IF(LOOKUP($N127, ALLCAMPERS!$A$11:$A$311, ALLCAMPERS!K$11:K$311) = 0, "", LOOKUP($N127, ALLCAMPERS!$A$11:$A$311, ALLCAMPERS!K$11:K$311))</f>
        <v/>
      </c>
      <c r="Y127" s="4" t="str">
        <f>IF(LOOKUP($N127, ALLCAMPERS!$A$11:$A$311, ALLCAMPERS!L$11:L$311) = 0, "", LOOKUP($N127, ALLCAMPERS!$A$11:$A$311, ALLCAMPERS!L$11:L$311))</f>
        <v/>
      </c>
    </row>
    <row r="128" spans="1:25" x14ac:dyDescent="0.3">
      <c r="A128" s="4">
        <f t="shared" si="16"/>
        <v>804</v>
      </c>
      <c r="B128" s="4">
        <f>LOOKUP(A128, ALLCAMPERS!$A$11:$A$311, ALLCAMPERS!$B$11:$B$311)</f>
        <v>8</v>
      </c>
      <c r="C128" s="4">
        <f>LOOKUP(A128, ALLCAMPERS!$A$11:$A$311, ALLCAMPERS!$C$11:$C$311)</f>
        <v>4</v>
      </c>
      <c r="D128" s="4" t="str">
        <f>LOOKUP(A128, ALLCAMPERS!$A$11:$A$311, ALLCAMPERS!$D$11:$D$311)</f>
        <v>Christine</v>
      </c>
      <c r="E128" s="4" t="str">
        <f>LOOKUP(A128, ALLCAMPERS!$A$11:$A$311, ALLCAMPERS!$E$11:$E$311)</f>
        <v>SULTANEM</v>
      </c>
      <c r="F128" s="4" t="str">
        <f>IF(LOOKUP($A128, ALLCAMPERS!$A$11:$A$311, ALLCAMPERS!F$11:F$311) = 0, "", LOOKUP($A128, ALLCAMPERS!$A$11:$A$311, ALLCAMPERS!F$11:F$311))</f>
        <v/>
      </c>
      <c r="G128" s="4">
        <f>IF(LOOKUP($A128, ALLCAMPERS!$A$11:$A$311, ALLCAMPERS!G$11:G$311) = 0, "", LOOKUP($A128, ALLCAMPERS!$A$11:$A$311, ALLCAMPERS!G$11:G$311))</f>
        <v>5</v>
      </c>
      <c r="H128" s="4">
        <f>IF(LOOKUP($A128, ALLCAMPERS!$A$11:$A$311, ALLCAMPERS!H$11:H$311) = 0, "", LOOKUP($A128, ALLCAMPERS!$A$11:$A$311, ALLCAMPERS!H$11:H$311))</f>
        <v>3</v>
      </c>
      <c r="I128" s="4">
        <f>IF(LOOKUP($A128, ALLCAMPERS!$A$11:$A$311, ALLCAMPERS!I$11:I$311) = 0, "", LOOKUP($A128, ALLCAMPERS!$A$11:$A$311, ALLCAMPERS!I$11:I$311))</f>
        <v>6</v>
      </c>
      <c r="J128" s="4">
        <f>IF(LOOKUP($A128, ALLCAMPERS!$A$11:$A$311, ALLCAMPERS!J$11:J$311) = 0, "", LOOKUP($A128, ALLCAMPERS!$A$11:$A$311, ALLCAMPERS!J$11:J$311))</f>
        <v>1</v>
      </c>
      <c r="K128" s="4" t="str">
        <f>IF(LOOKUP($A128, ALLCAMPERS!$A$11:$A$311, ALLCAMPERS!K$11:K$311) = 0, "", LOOKUP($A128, ALLCAMPERS!$A$11:$A$311, ALLCAMPERS!K$11:K$311))</f>
        <v/>
      </c>
      <c r="L128" s="4" t="str">
        <f>IF(LOOKUP($A128, ALLCAMPERS!$A$11:$A$311, ALLCAMPERS!L$11:L$311) = 0, "", LOOKUP($A128, ALLCAMPERS!$A$11:$A$311, ALLCAMPERS!L$11:L$311))</f>
        <v/>
      </c>
      <c r="N128" s="4">
        <f t="shared" si="17"/>
        <v>1804</v>
      </c>
      <c r="O128" s="4">
        <f>LOOKUP(N128, ALLCAMPERS!$A$11:$A$311, ALLCAMPERS!$B$11:$B$311)</f>
        <v>18</v>
      </c>
      <c r="P128" s="4">
        <f>LOOKUP(N128, ALLCAMPERS!$A$11:$A$311, ALLCAMPERS!$C$11:$C$311)</f>
        <v>4</v>
      </c>
      <c r="Q128" s="4" t="str">
        <f>LOOKUP(N128, ALLCAMPERS!$A$11:$A$311, ALLCAMPERS!$D$11:$D$311)</f>
        <v>George</v>
      </c>
      <c r="R128" s="4" t="str">
        <f>LOOKUP(N128, ALLCAMPERS!$A$11:$A$311, ALLCAMPERS!$E$11:$E$311)</f>
        <v>LOUCA</v>
      </c>
      <c r="S128" s="4" t="str">
        <f>IF(LOOKUP($N128, ALLCAMPERS!$A$11:$A$311, ALLCAMPERS!F$11:F$311) = 0, "", LOOKUP($N128, ALLCAMPERS!$A$11:$A$311, ALLCAMPERS!F$11:F$311))</f>
        <v/>
      </c>
      <c r="T128" s="4">
        <f>IF(LOOKUP($N128, ALLCAMPERS!$A$11:$A$311, ALLCAMPERS!G$11:G$311) = 0, "", LOOKUP($N128, ALLCAMPERS!$A$11:$A$311, ALLCAMPERS!G$11:G$311))</f>
        <v>6</v>
      </c>
      <c r="U128" s="4">
        <f>IF(LOOKUP($N128, ALLCAMPERS!$A$11:$A$311, ALLCAMPERS!H$11:H$311) = 0, "", LOOKUP($N128, ALLCAMPERS!$A$11:$A$311, ALLCAMPERS!H$11:H$311))</f>
        <v>2</v>
      </c>
      <c r="V128" s="4">
        <f>IF(LOOKUP($N128, ALLCAMPERS!$A$11:$A$311, ALLCAMPERS!I$11:I$311) = 0, "", LOOKUP($N128, ALLCAMPERS!$A$11:$A$311, ALLCAMPERS!I$11:I$311))</f>
        <v>1</v>
      </c>
      <c r="W128" s="4">
        <f>IF(LOOKUP($N128, ALLCAMPERS!$A$11:$A$311, ALLCAMPERS!J$11:J$311) = 0, "", LOOKUP($N128, ALLCAMPERS!$A$11:$A$311, ALLCAMPERS!J$11:J$311))</f>
        <v>7</v>
      </c>
      <c r="X128" s="4" t="str">
        <f>IF(LOOKUP($N128, ALLCAMPERS!$A$11:$A$311, ALLCAMPERS!K$11:K$311) = 0, "", LOOKUP($N128, ALLCAMPERS!$A$11:$A$311, ALLCAMPERS!K$11:K$311))</f>
        <v/>
      </c>
      <c r="Y128" s="4" t="str">
        <f>IF(LOOKUP($N128, ALLCAMPERS!$A$11:$A$311, ALLCAMPERS!L$11:L$311) = 0, "", LOOKUP($N128, ALLCAMPERS!$A$11:$A$311, ALLCAMPERS!L$11:L$311))</f>
        <v/>
      </c>
    </row>
    <row r="129" spans="1:25" x14ac:dyDescent="0.3">
      <c r="A129" s="4">
        <f t="shared" si="16"/>
        <v>805</v>
      </c>
      <c r="B129" s="4">
        <f>LOOKUP(A129, ALLCAMPERS!$A$11:$A$311, ALLCAMPERS!$B$11:$B$311)</f>
        <v>8</v>
      </c>
      <c r="C129" s="4">
        <f>LOOKUP(A129, ALLCAMPERS!$A$11:$A$311, ALLCAMPERS!$C$11:$C$311)</f>
        <v>5</v>
      </c>
      <c r="D129" s="4" t="str">
        <f>LOOKUP(A129, ALLCAMPERS!$A$11:$A$311, ALLCAMPERS!$D$11:$D$311)</f>
        <v>Elizabeth</v>
      </c>
      <c r="E129" s="4" t="str">
        <f>LOOKUP(A129, ALLCAMPERS!$A$11:$A$311, ALLCAMPERS!$E$11:$E$311)</f>
        <v>ZYUZIN</v>
      </c>
      <c r="F129" s="4" t="str">
        <f>IF(LOOKUP($A129, ALLCAMPERS!$A$11:$A$311, ALLCAMPERS!F$11:F$311) = 0, "", LOOKUP($A129, ALLCAMPERS!$A$11:$A$311, ALLCAMPERS!F$11:F$311))</f>
        <v/>
      </c>
      <c r="G129" s="4">
        <f>IF(LOOKUP($A129, ALLCAMPERS!$A$11:$A$311, ALLCAMPERS!G$11:G$311) = 0, "", LOOKUP($A129, ALLCAMPERS!$A$11:$A$311, ALLCAMPERS!G$11:G$311))</f>
        <v>1</v>
      </c>
      <c r="H129" s="4">
        <f>IF(LOOKUP($A129, ALLCAMPERS!$A$11:$A$311, ALLCAMPERS!H$11:H$311) = 0, "", LOOKUP($A129, ALLCAMPERS!$A$11:$A$311, ALLCAMPERS!H$11:H$311))</f>
        <v>1</v>
      </c>
      <c r="I129" s="4">
        <f>IF(LOOKUP($A129, ALLCAMPERS!$A$11:$A$311, ALLCAMPERS!I$11:I$311) = 0, "", LOOKUP($A129, ALLCAMPERS!$A$11:$A$311, ALLCAMPERS!I$11:I$311))</f>
        <v>2</v>
      </c>
      <c r="J129" s="4">
        <f>IF(LOOKUP($A129, ALLCAMPERS!$A$11:$A$311, ALLCAMPERS!J$11:J$311) = 0, "", LOOKUP($A129, ALLCAMPERS!$A$11:$A$311, ALLCAMPERS!J$11:J$311))</f>
        <v>3</v>
      </c>
      <c r="K129" s="4" t="str">
        <f>IF(LOOKUP($A129, ALLCAMPERS!$A$11:$A$311, ALLCAMPERS!K$11:K$311) = 0, "", LOOKUP($A129, ALLCAMPERS!$A$11:$A$311, ALLCAMPERS!K$11:K$311))</f>
        <v/>
      </c>
      <c r="L129" s="4" t="str">
        <f>IF(LOOKUP($A129, ALLCAMPERS!$A$11:$A$311, ALLCAMPERS!L$11:L$311) = 0, "", LOOKUP($A129, ALLCAMPERS!$A$11:$A$311, ALLCAMPERS!L$11:L$311))</f>
        <v/>
      </c>
      <c r="N129" s="4">
        <f t="shared" si="17"/>
        <v>1805</v>
      </c>
      <c r="O129" s="4">
        <f>LOOKUP(N129, ALLCAMPERS!$A$11:$A$311, ALLCAMPERS!$B$11:$B$311)</f>
        <v>18</v>
      </c>
      <c r="P129" s="4">
        <f>LOOKUP(N129, ALLCAMPERS!$A$11:$A$311, ALLCAMPERS!$C$11:$C$311)</f>
        <v>5</v>
      </c>
      <c r="Q129" s="4" t="str">
        <f>LOOKUP(N129, ALLCAMPERS!$A$11:$A$311, ALLCAMPERS!$D$11:$D$311)</f>
        <v>George</v>
      </c>
      <c r="R129" s="4" t="str">
        <f>LOOKUP(N129, ALLCAMPERS!$A$11:$A$311, ALLCAMPERS!$E$11:$E$311)</f>
        <v>WEHBI</v>
      </c>
      <c r="S129" s="4" t="str">
        <f>IF(LOOKUP($N129, ALLCAMPERS!$A$11:$A$311, ALLCAMPERS!F$11:F$311) = 0, "", LOOKUP($N129, ALLCAMPERS!$A$11:$A$311, ALLCAMPERS!F$11:F$311))</f>
        <v/>
      </c>
      <c r="T129" s="4">
        <f>IF(LOOKUP($N129, ALLCAMPERS!$A$11:$A$311, ALLCAMPERS!G$11:G$311) = 0, "", LOOKUP($N129, ALLCAMPERS!$A$11:$A$311, ALLCAMPERS!G$11:G$311))</f>
        <v>7</v>
      </c>
      <c r="U129" s="4">
        <f>IF(LOOKUP($N129, ALLCAMPERS!$A$11:$A$311, ALLCAMPERS!H$11:H$311) = 0, "", LOOKUP($N129, ALLCAMPERS!$A$11:$A$311, ALLCAMPERS!H$11:H$311))</f>
        <v>3</v>
      </c>
      <c r="V129" s="4">
        <f>IF(LOOKUP($N129, ALLCAMPERS!$A$11:$A$311, ALLCAMPERS!I$11:I$311) = 0, "", LOOKUP($N129, ALLCAMPERS!$A$11:$A$311, ALLCAMPERS!I$11:I$311))</f>
        <v>1</v>
      </c>
      <c r="W129" s="4">
        <f>IF(LOOKUP($N129, ALLCAMPERS!$A$11:$A$311, ALLCAMPERS!J$11:J$311) = 0, "", LOOKUP($N129, ALLCAMPERS!$A$11:$A$311, ALLCAMPERS!J$11:J$311))</f>
        <v>6</v>
      </c>
      <c r="X129" s="4" t="str">
        <f>IF(LOOKUP($N129, ALLCAMPERS!$A$11:$A$311, ALLCAMPERS!K$11:K$311) = 0, "", LOOKUP($N129, ALLCAMPERS!$A$11:$A$311, ALLCAMPERS!K$11:K$311))</f>
        <v/>
      </c>
      <c r="Y129" s="4" t="str">
        <f>IF(LOOKUP($N129, ALLCAMPERS!$A$11:$A$311, ALLCAMPERS!L$11:L$311) = 0, "", LOOKUP($N129, ALLCAMPERS!$A$11:$A$311, ALLCAMPERS!L$11:L$311))</f>
        <v/>
      </c>
    </row>
    <row r="130" spans="1:25" x14ac:dyDescent="0.3">
      <c r="N130" s="4">
        <f t="shared" si="17"/>
        <v>1806</v>
      </c>
      <c r="O130" s="4">
        <f>LOOKUP(N130, ALLCAMPERS!$A$11:$A$311, ALLCAMPERS!$B$11:$B$311)</f>
        <v>18</v>
      </c>
      <c r="P130" s="4">
        <f>LOOKUP(N130, ALLCAMPERS!$A$11:$A$311, ALLCAMPERS!$C$11:$C$311)</f>
        <v>6</v>
      </c>
      <c r="Q130" s="4" t="str">
        <f>LOOKUP(N130, ALLCAMPERS!$A$11:$A$311, ALLCAMPERS!$D$11:$D$311)</f>
        <v>Jamil</v>
      </c>
      <c r="R130" s="4" t="str">
        <f>LOOKUP(N130, ALLCAMPERS!$A$11:$A$311, ALLCAMPERS!$E$11:$E$311)</f>
        <v>SULTANEM</v>
      </c>
      <c r="S130" s="4" t="str">
        <f>IF(LOOKUP($N130, ALLCAMPERS!$A$11:$A$311, ALLCAMPERS!F$11:F$311) = 0, "", LOOKUP($N130, ALLCAMPERS!$A$11:$A$311, ALLCAMPERS!F$11:F$311))</f>
        <v/>
      </c>
      <c r="T130" s="4">
        <f>IF(LOOKUP($N130, ALLCAMPERS!$A$11:$A$311, ALLCAMPERS!G$11:G$311) = 0, "", LOOKUP($N130, ALLCAMPERS!$A$11:$A$311, ALLCAMPERS!G$11:G$311))</f>
        <v>4</v>
      </c>
      <c r="U130" s="4">
        <f>IF(LOOKUP($N130, ALLCAMPERS!$A$11:$A$311, ALLCAMPERS!H$11:H$311) = 0, "", LOOKUP($N130, ALLCAMPERS!$A$11:$A$311, ALLCAMPERS!H$11:H$311))</f>
        <v>6</v>
      </c>
      <c r="V130" s="4">
        <f>IF(LOOKUP($N130, ALLCAMPERS!$A$11:$A$311, ALLCAMPERS!I$11:I$311) = 0, "", LOOKUP($N130, ALLCAMPERS!$A$11:$A$311, ALLCAMPERS!I$11:I$311))</f>
        <v>7</v>
      </c>
      <c r="W130" s="4">
        <f>IF(LOOKUP($N130, ALLCAMPERS!$A$11:$A$311, ALLCAMPERS!J$11:J$311) = 0, "", LOOKUP($N130, ALLCAMPERS!$A$11:$A$311, ALLCAMPERS!J$11:J$311))</f>
        <v>4</v>
      </c>
      <c r="X130" s="4" t="str">
        <f>IF(LOOKUP($N130, ALLCAMPERS!$A$11:$A$311, ALLCAMPERS!K$11:K$311) = 0, "", LOOKUP($N130, ALLCAMPERS!$A$11:$A$311, ALLCAMPERS!K$11:K$311))</f>
        <v/>
      </c>
      <c r="Y130" s="4" t="str">
        <f>IF(LOOKUP($N130, ALLCAMPERS!$A$11:$A$311, ALLCAMPERS!L$11:L$311) = 0, "", LOOKUP($N130, ALLCAMPERS!$A$11:$A$311, ALLCAMPERS!L$11:L$311))</f>
        <v/>
      </c>
    </row>
    <row r="131" spans="1:25" x14ac:dyDescent="0.3">
      <c r="N131" s="4">
        <f t="shared" si="17"/>
        <v>1807</v>
      </c>
      <c r="O131" s="4">
        <f>LOOKUP(N131, ALLCAMPERS!$A$11:$A$311, ALLCAMPERS!$B$11:$B$311)</f>
        <v>18</v>
      </c>
      <c r="P131" s="4">
        <f>LOOKUP(N131, ALLCAMPERS!$A$11:$A$311, ALLCAMPERS!$C$11:$C$311)</f>
        <v>7</v>
      </c>
      <c r="Q131" s="4" t="str">
        <f>LOOKUP(N131, ALLCAMPERS!$A$11:$A$311, ALLCAMPERS!$D$11:$D$311)</f>
        <v>Roupen</v>
      </c>
      <c r="R131" s="4" t="str">
        <f>LOOKUP(N131, ALLCAMPERS!$A$11:$A$311, ALLCAMPERS!$E$11:$E$311)</f>
        <v>SOULAHIAN</v>
      </c>
      <c r="S131" s="4" t="str">
        <f>IF(LOOKUP($N131, ALLCAMPERS!$A$11:$A$311, ALLCAMPERS!F$11:F$311) = 0, "", LOOKUP($N131, ALLCAMPERS!$A$11:$A$311, ALLCAMPERS!F$11:F$311))</f>
        <v/>
      </c>
      <c r="T131" s="4">
        <f>IF(LOOKUP($N131, ALLCAMPERS!$A$11:$A$311, ALLCAMPERS!G$11:G$311) = 0, "", LOOKUP($N131, ALLCAMPERS!$A$11:$A$311, ALLCAMPERS!G$11:G$311))</f>
        <v>2</v>
      </c>
      <c r="U131" s="4">
        <f>IF(LOOKUP($N131, ALLCAMPERS!$A$11:$A$311, ALLCAMPERS!H$11:H$311) = 0, "", LOOKUP($N131, ALLCAMPERS!$A$11:$A$311, ALLCAMPERS!H$11:H$311))</f>
        <v>1</v>
      </c>
      <c r="V131" s="4">
        <f>IF(LOOKUP($N131, ALLCAMPERS!$A$11:$A$311, ALLCAMPERS!I$11:I$311) = 0, "", LOOKUP($N131, ALLCAMPERS!$A$11:$A$311, ALLCAMPERS!I$11:I$311))</f>
        <v>3</v>
      </c>
      <c r="W131" s="4">
        <f>IF(LOOKUP($N131, ALLCAMPERS!$A$11:$A$311, ALLCAMPERS!J$11:J$311) = 0, "", LOOKUP($N131, ALLCAMPERS!$A$11:$A$311, ALLCAMPERS!J$11:J$311))</f>
        <v>2</v>
      </c>
      <c r="X131" s="4" t="str">
        <f>IF(LOOKUP($N131, ALLCAMPERS!$A$11:$A$311, ALLCAMPERS!K$11:K$311) = 0, "", LOOKUP($N131, ALLCAMPERS!$A$11:$A$311, ALLCAMPERS!K$11:K$311))</f>
        <v/>
      </c>
      <c r="Y131" s="4" t="str">
        <f>IF(LOOKUP($N131, ALLCAMPERS!$A$11:$A$311, ALLCAMPERS!L$11:L$311) = 0, "", LOOKUP($N131, ALLCAMPERS!$A$11:$A$311, ALLCAMPERS!L$11:L$311))</f>
        <v/>
      </c>
    </row>
    <row r="132" spans="1:25" x14ac:dyDescent="0.3">
      <c r="N132" s="4">
        <f t="shared" si="17"/>
        <v>1808</v>
      </c>
      <c r="O132" s="4">
        <f>LOOKUP(N132, ALLCAMPERS!$A$11:$A$311, ALLCAMPERS!$B$11:$B$311)</f>
        <v>18</v>
      </c>
      <c r="P132" s="4">
        <f>LOOKUP(N132, ALLCAMPERS!$A$11:$A$311, ALLCAMPERS!$C$11:$C$311)</f>
        <v>8</v>
      </c>
      <c r="Q132" s="4" t="str">
        <f>LOOKUP(N132, ALLCAMPERS!$A$11:$A$311, ALLCAMPERS!$D$11:$D$311)</f>
        <v>Simon</v>
      </c>
      <c r="R132" s="4" t="str">
        <f>LOOKUP(N132, ALLCAMPERS!$A$11:$A$311, ALLCAMPERS!$E$11:$E$311)</f>
        <v>ABOU SBEAA</v>
      </c>
      <c r="S132" s="4" t="str">
        <f>IF(LOOKUP($N132, ALLCAMPERS!$A$11:$A$311, ALLCAMPERS!F$11:F$311) = 0, "", LOOKUP($N132, ALLCAMPERS!$A$11:$A$311, ALLCAMPERS!F$11:F$311))</f>
        <v/>
      </c>
      <c r="T132" s="4">
        <f>IF(LOOKUP($N132, ALLCAMPERS!$A$11:$A$311, ALLCAMPERS!G$11:G$311) = 0, "", LOOKUP($N132, ALLCAMPERS!$A$11:$A$311, ALLCAMPERS!G$11:G$311))</f>
        <v>2</v>
      </c>
      <c r="U132" s="4">
        <f>IF(LOOKUP($N132, ALLCAMPERS!$A$11:$A$311, ALLCAMPERS!H$11:H$311) = 0, "", LOOKUP($N132, ALLCAMPERS!$A$11:$A$311, ALLCAMPERS!H$11:H$311))</f>
        <v>6</v>
      </c>
      <c r="V132" s="4">
        <f>IF(LOOKUP($N132, ALLCAMPERS!$A$11:$A$311, ALLCAMPERS!I$11:I$311) = 0, "", LOOKUP($N132, ALLCAMPERS!$A$11:$A$311, ALLCAMPERS!I$11:I$311))</f>
        <v>5</v>
      </c>
      <c r="W132" s="4">
        <f>IF(LOOKUP($N132, ALLCAMPERS!$A$11:$A$311, ALLCAMPERS!J$11:J$311) = 0, "", LOOKUP($N132, ALLCAMPERS!$A$11:$A$311, ALLCAMPERS!J$11:J$311))</f>
        <v>6</v>
      </c>
      <c r="X132" s="4" t="str">
        <f>IF(LOOKUP($N132, ALLCAMPERS!$A$11:$A$311, ALLCAMPERS!K$11:K$311) = 0, "", LOOKUP($N132, ALLCAMPERS!$A$11:$A$311, ALLCAMPERS!K$11:K$311))</f>
        <v/>
      </c>
      <c r="Y132" s="4" t="str">
        <f>IF(LOOKUP($N132, ALLCAMPERS!$A$11:$A$311, ALLCAMPERS!L$11:L$311) = 0, "", LOOKUP($N132, ALLCAMPERS!$A$11:$A$311, ALLCAMPERS!L$11:L$311))</f>
        <v/>
      </c>
    </row>
    <row r="133" spans="1:25" x14ac:dyDescent="0.3">
      <c r="N133" s="4">
        <f t="shared" si="17"/>
        <v>1809</v>
      </c>
      <c r="O133" s="4">
        <f>LOOKUP(N133, ALLCAMPERS!$A$11:$A$311, ALLCAMPERS!$B$11:$B$311)</f>
        <v>18</v>
      </c>
      <c r="P133" s="4">
        <f>LOOKUP(N133, ALLCAMPERS!$A$11:$A$311, ALLCAMPERS!$C$11:$C$311)</f>
        <v>9</v>
      </c>
      <c r="Q133" s="4" t="str">
        <f>LOOKUP(N133, ALLCAMPERS!$A$11:$A$311, ALLCAMPERS!$D$11:$D$311)</f>
        <v>Christian</v>
      </c>
      <c r="R133" s="4" t="str">
        <f>LOOKUP(N133, ALLCAMPERS!$A$11:$A$311, ALLCAMPERS!$E$11:$E$311)</f>
        <v>KHOURY</v>
      </c>
      <c r="S133" s="4" t="str">
        <f>IF(LOOKUP($N133, ALLCAMPERS!$A$11:$A$311, ALLCAMPERS!F$11:F$311) = 0, "", LOOKUP($N133, ALLCAMPERS!$A$11:$A$311, ALLCAMPERS!F$11:F$311))</f>
        <v/>
      </c>
      <c r="T133" s="4">
        <f>IF(LOOKUP($N133, ALLCAMPERS!$A$11:$A$311, ALLCAMPERS!G$11:G$311) = 0, "", LOOKUP($N133, ALLCAMPERS!$A$11:$A$311, ALLCAMPERS!G$11:G$311))</f>
        <v>5</v>
      </c>
      <c r="U133" s="4">
        <f>IF(LOOKUP($N133, ALLCAMPERS!$A$11:$A$311, ALLCAMPERS!H$11:H$311) = 0, "", LOOKUP($N133, ALLCAMPERS!$A$11:$A$311, ALLCAMPERS!H$11:H$311))</f>
        <v>5</v>
      </c>
      <c r="V133" s="4">
        <f>IF(LOOKUP($N133, ALLCAMPERS!$A$11:$A$311, ALLCAMPERS!I$11:I$311) = 0, "", LOOKUP($N133, ALLCAMPERS!$A$11:$A$311, ALLCAMPERS!I$11:I$311))</f>
        <v>4</v>
      </c>
      <c r="W133" s="4">
        <f>IF(LOOKUP($N133, ALLCAMPERS!$A$11:$A$311, ALLCAMPERS!J$11:J$311) = 0, "", LOOKUP($N133, ALLCAMPERS!$A$11:$A$311, ALLCAMPERS!J$11:J$311))</f>
        <v>6</v>
      </c>
      <c r="X133" s="4" t="str">
        <f>IF(LOOKUP($N133, ALLCAMPERS!$A$11:$A$311, ALLCAMPERS!K$11:K$311) = 0, "", LOOKUP($N133, ALLCAMPERS!$A$11:$A$311, ALLCAMPERS!K$11:K$311))</f>
        <v/>
      </c>
      <c r="Y133" s="4" t="str">
        <f>IF(LOOKUP($N133, ALLCAMPERS!$A$11:$A$311, ALLCAMPERS!L$11:L$311) = 0, "", LOOKUP($N133, ALLCAMPERS!$A$11:$A$311, ALLCAMPERS!L$11:L$311))</f>
        <v/>
      </c>
    </row>
    <row r="134" spans="1:25" x14ac:dyDescent="0.3">
      <c r="N134" s="4">
        <f t="shared" si="17"/>
        <v>1810</v>
      </c>
      <c r="O134" s="4">
        <f>LOOKUP(N134, ALLCAMPERS!$A$11:$A$311, ALLCAMPERS!$B$11:$B$311)</f>
        <v>18</v>
      </c>
      <c r="P134" s="4">
        <f>LOOKUP(N134, ALLCAMPERS!$A$11:$A$311, ALLCAMPERS!$C$11:$C$311)</f>
        <v>10</v>
      </c>
      <c r="Q134" s="4" t="str">
        <f>LOOKUP(N134, ALLCAMPERS!$A$11:$A$311, ALLCAMPERS!$D$11:$D$311)</f>
        <v>Vladimir</v>
      </c>
      <c r="R134" s="4" t="str">
        <f>LOOKUP(N134, ALLCAMPERS!$A$11:$A$311, ALLCAMPERS!$E$11:$E$311)</f>
        <v>AYOUB</v>
      </c>
      <c r="S134" s="4" t="str">
        <f>IF(LOOKUP($N134, ALLCAMPERS!$A$11:$A$311, ALLCAMPERS!F$11:F$311) = 0, "", LOOKUP($N134, ALLCAMPERS!$A$11:$A$311, ALLCAMPERS!F$11:F$311))</f>
        <v/>
      </c>
      <c r="T134" s="4">
        <f>IF(LOOKUP($N134, ALLCAMPERS!$A$11:$A$311, ALLCAMPERS!G$11:G$311) = 0, "", LOOKUP($N134, ALLCAMPERS!$A$11:$A$311, ALLCAMPERS!G$11:G$311))</f>
        <v>1</v>
      </c>
      <c r="U134" s="4">
        <f>IF(LOOKUP($N134, ALLCAMPERS!$A$11:$A$311, ALLCAMPERS!H$11:H$311) = 0, "", LOOKUP($N134, ALLCAMPERS!$A$11:$A$311, ALLCAMPERS!H$11:H$311))</f>
        <v>1</v>
      </c>
      <c r="V134" s="4">
        <f>IF(LOOKUP($N134, ALLCAMPERS!$A$11:$A$311, ALLCAMPERS!I$11:I$311) = 0, "", LOOKUP($N134, ALLCAMPERS!$A$11:$A$311, ALLCAMPERS!I$11:I$311))</f>
        <v>2</v>
      </c>
      <c r="W134" s="4">
        <f>IF(LOOKUP($N134, ALLCAMPERS!$A$11:$A$311, ALLCAMPERS!J$11:J$311) = 0, "", LOOKUP($N134, ALLCAMPERS!$A$11:$A$311, ALLCAMPERS!J$11:J$311))</f>
        <v>3</v>
      </c>
      <c r="X134" s="4" t="str">
        <f>IF(LOOKUP($N134, ALLCAMPERS!$A$11:$A$311, ALLCAMPERS!K$11:K$311) = 0, "", LOOKUP($N134, ALLCAMPERS!$A$11:$A$311, ALLCAMPERS!K$11:K$311))</f>
        <v/>
      </c>
      <c r="Y134" s="4" t="str">
        <f>IF(LOOKUP($N134, ALLCAMPERS!$A$11:$A$311, ALLCAMPERS!L$11:L$311) = 0, "", LOOKUP($N134, ALLCAMPERS!$A$11:$A$311, ALLCAMPERS!L$11:L$311))</f>
        <v/>
      </c>
    </row>
  </sheetData>
  <pageMargins left="0.5" right="0.5" top="0.5" bottom="0.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C17F-993F-40C2-9D8A-56B96B5284FE}">
  <sheetPr codeName="Sheet5">
    <pageSetUpPr fitToPage="1"/>
  </sheetPr>
  <dimension ref="A1:AF35"/>
  <sheetViews>
    <sheetView topLeftCell="A7" zoomScale="70" zoomScaleNormal="70" workbookViewId="0">
      <selection activeCell="A7" sqref="A7"/>
    </sheetView>
  </sheetViews>
  <sheetFormatPr defaultRowHeight="14.4" x14ac:dyDescent="0.3"/>
  <cols>
    <col min="1" max="1" width="12" style="5" bestFit="1" customWidth="1"/>
    <col min="2" max="32" width="30.77734375" customWidth="1"/>
  </cols>
  <sheetData>
    <row r="1" spans="1:32" hidden="1" x14ac:dyDescent="0.3"/>
    <row r="2" spans="1:32" hidden="1" x14ac:dyDescent="0.3"/>
    <row r="3" spans="1:32" hidden="1" x14ac:dyDescent="0.3"/>
    <row r="4" spans="1:32" hidden="1" x14ac:dyDescent="0.3"/>
    <row r="5" spans="1:32" hidden="1" x14ac:dyDescent="0.3"/>
    <row r="6" spans="1:32" hidden="1" x14ac:dyDescent="0.3">
      <c r="A6" s="5" t="s">
        <v>14</v>
      </c>
      <c r="B6" s="4">
        <f>INDEX(ACTIVITYKEY!$A$11:$C$41,COLUMN(B6)-1,1)</f>
        <v>0</v>
      </c>
      <c r="C6" s="4">
        <f>INDEX(ACTIVITYKEY!$A$11:$C$41,COLUMN(C6)-1,1)</f>
        <v>1</v>
      </c>
      <c r="D6" s="4">
        <f>INDEX(ACTIVITYKEY!$A$11:$C$41,COLUMN(D6)-1,1)</f>
        <v>2</v>
      </c>
      <c r="E6" s="4">
        <f>INDEX(ACTIVITYKEY!$A$11:$C$41,COLUMN(E6)-1,1)</f>
        <v>3</v>
      </c>
      <c r="F6" s="4">
        <f>INDEX(ACTIVITYKEY!$A$11:$C$41,COLUMN(F6)-1,1)</f>
        <v>4</v>
      </c>
      <c r="G6" s="4">
        <f>INDEX(ACTIVITYKEY!$A$11:$C$41,COLUMN(G6)-1,1)</f>
        <v>5</v>
      </c>
      <c r="H6" s="4">
        <f>INDEX(ACTIVITYKEY!$A$11:$C$41,COLUMN(H6)-1,1)</f>
        <v>6</v>
      </c>
      <c r="I6" s="4">
        <f>INDEX(ACTIVITYKEY!$A$11:$C$41,COLUMN(I6)-1,1)</f>
        <v>7</v>
      </c>
      <c r="J6" s="4">
        <f>INDEX(ACTIVITYKEY!$A$11:$C$41,COLUMN(J6)-1,1)</f>
        <v>8</v>
      </c>
      <c r="K6" s="4">
        <f>INDEX(ACTIVITYKEY!$A$11:$C$41,COLUMN(K6)-1,1)</f>
        <v>9</v>
      </c>
      <c r="L6" s="4">
        <f>INDEX(ACTIVITYKEY!$A$11:$C$41,COLUMN(L6)-1,1)</f>
        <v>10</v>
      </c>
      <c r="M6" s="4">
        <f>INDEX(ACTIVITYKEY!$A$11:$C$41,COLUMN(M6)-1,1)</f>
        <v>11</v>
      </c>
      <c r="N6" s="4">
        <f>INDEX(ACTIVITYKEY!$A$11:$C$41,COLUMN(N6)-1,1)</f>
        <v>12</v>
      </c>
      <c r="O6" s="4">
        <f>INDEX(ACTIVITYKEY!$A$11:$C$41,COLUMN(O6)-1,1)</f>
        <v>13</v>
      </c>
      <c r="P6" s="4">
        <f>INDEX(ACTIVITYKEY!$A$11:$C$41,COLUMN(P6)-1,1)</f>
        <v>14</v>
      </c>
      <c r="Q6" s="4">
        <f>INDEX(ACTIVITYKEY!$A$11:$C$41,COLUMN(Q6)-1,1)</f>
        <v>15</v>
      </c>
      <c r="R6" s="4">
        <f>INDEX(ACTIVITYKEY!$A$11:$C$41,COLUMN(R6)-1,1)</f>
        <v>16</v>
      </c>
      <c r="S6" s="4">
        <f>INDEX(ACTIVITYKEY!$A$11:$C$41,COLUMN(S6)-1,1)</f>
        <v>17</v>
      </c>
      <c r="T6" s="4">
        <f>INDEX(ACTIVITYKEY!$A$11:$C$41,COLUMN(T6)-1,1)</f>
        <v>18</v>
      </c>
      <c r="U6" s="4">
        <f>INDEX(ACTIVITYKEY!$A$11:$C$41,COLUMN(U6)-1,1)</f>
        <v>19</v>
      </c>
      <c r="V6" s="4">
        <f>INDEX(ACTIVITYKEY!$A$11:$C$41,COLUMN(V6)-1,1)</f>
        <v>20</v>
      </c>
      <c r="W6" s="4">
        <f>INDEX(ACTIVITYKEY!$A$11:$C$41,COLUMN(W6)-1,1)</f>
        <v>0</v>
      </c>
      <c r="X6" s="4">
        <f>INDEX(ACTIVITYKEY!$A$11:$C$41,COLUMN(X6)-1,1)</f>
        <v>0</v>
      </c>
      <c r="Y6" s="4">
        <f>INDEX(ACTIVITYKEY!$A$11:$C$41,COLUMN(Y6)-1,1)</f>
        <v>0</v>
      </c>
      <c r="Z6" s="4">
        <f>INDEX(ACTIVITYKEY!$A$11:$C$41,COLUMN(Z6)-1,1)</f>
        <v>0</v>
      </c>
      <c r="AA6" s="4">
        <f>INDEX(ACTIVITYKEY!$A$11:$C$41,COLUMN(AA6)-1,1)</f>
        <v>0</v>
      </c>
      <c r="AB6" s="4">
        <f>INDEX(ACTIVITYKEY!$A$11:$C$41,COLUMN(AB6)-1,1)</f>
        <v>0</v>
      </c>
      <c r="AC6" s="4">
        <f>INDEX(ACTIVITYKEY!$A$11:$C$41,COLUMN(AC6)-1,1)</f>
        <v>0</v>
      </c>
      <c r="AD6" s="4">
        <f>INDEX(ACTIVITYKEY!$A$11:$C$41,COLUMN(AD6)-1,1)</f>
        <v>0</v>
      </c>
      <c r="AE6" s="4">
        <f>INDEX(ACTIVITYKEY!$A$11:$C$41,COLUMN(AE6)-1,1)</f>
        <v>0</v>
      </c>
      <c r="AF6" s="4">
        <f>INDEX(ACTIVITYKEY!$A$11:$C$41,COLUMN(AF6)-1,1)</f>
        <v>0</v>
      </c>
    </row>
    <row r="7" spans="1:32" x14ac:dyDescent="0.3">
      <c r="A7" s="5" t="s">
        <v>94</v>
      </c>
      <c r="B7" s="4" t="str">
        <f>INDEX(ACTIVITYKEY!$A$11:$C$41,COLUMN(B6)-1,1) &amp; "  " &amp; INDEX(ACTIVITYKEY!$A$11:$C$41,COLUMN(B7)-1,2)</f>
        <v>0  Not Assigned</v>
      </c>
      <c r="C7" s="4" t="str">
        <f>INDEX(ACTIVITYKEY!$A$11:$C$41,COLUMN(C6)-1,1) &amp; "  " &amp; INDEX(ACTIVITYKEY!$A$11:$C$41,COLUMN(C7)-1,2)</f>
        <v>1  [CABINS] Tubing</v>
      </c>
      <c r="D7" s="4" t="str">
        <f>INDEX(ACTIVITYKEY!$A$11:$C$41,COLUMN(D6)-1,1) &amp; "  " &amp; INDEX(ACTIVITYKEY!$A$11:$C$41,COLUMN(D7)-1,2)</f>
        <v>2  [All] Arts and Crafts</v>
      </c>
      <c r="E7" s="4" t="str">
        <f>INDEX(ACTIVITYKEY!$A$11:$C$41,COLUMN(E6)-1,1) &amp; "  " &amp; INDEX(ACTIVITYKEY!$A$11:$C$41,COLUMN(E7)-1,2)</f>
        <v>3  [All] Basketball</v>
      </c>
      <c r="F7" s="4" t="str">
        <f>INDEX(ACTIVITYKEY!$A$11:$C$41,COLUMN(F6)-1,1) &amp; "  " &amp; INDEX(ACTIVITYKEY!$A$11:$C$41,COLUMN(F7)-1,2)</f>
        <v>4  [All] Canoe/Kayak</v>
      </c>
      <c r="G7" s="4" t="str">
        <f>INDEX(ACTIVITYKEY!$A$11:$C$41,COLUMN(G6)-1,1) &amp; "  " &amp; INDEX(ACTIVITYKEY!$A$11:$C$41,COLUMN(G7)-1,2)</f>
        <v>5  [All] Free Swim</v>
      </c>
      <c r="H7" s="4" t="str">
        <f>INDEX(ACTIVITYKEY!$A$11:$C$41,COLUMN(H6)-1,1) &amp; "  " &amp; INDEX(ACTIVITYKEY!$A$11:$C$41,COLUMN(H7)-1,2)</f>
        <v>6  [All] Soccer</v>
      </c>
      <c r="I7" s="4" t="str">
        <f>INDEX(ACTIVITYKEY!$A$11:$C$41,COLUMN(I6)-1,1) &amp; "  " &amp; INDEX(ACTIVITYKEY!$A$11:$C$41,COLUMN(I7)-1,2)</f>
        <v>7  [All] Frog Hunting</v>
      </c>
      <c r="J7" s="4" t="str">
        <f>INDEX(ACTIVITYKEY!$A$11:$C$41,COLUMN(J6)-1,1) &amp; "  " &amp; INDEX(ACTIVITYKEY!$A$11:$C$41,COLUMN(J7)-1,2)</f>
        <v>8  [All] Tennis</v>
      </c>
      <c r="K7" s="4" t="str">
        <f>INDEX(ACTIVITYKEY!$A$11:$C$41,COLUMN(K6)-1,1) &amp; "  " &amp; INDEX(ACTIVITYKEY!$A$11:$C$41,COLUMN(K7)-1,2)</f>
        <v>9  [All] Basketball/Dodgeball</v>
      </c>
      <c r="L7" s="4" t="str">
        <f>INDEX(ACTIVITYKEY!$A$11:$C$41,COLUMN(L6)-1,1) &amp; "  " &amp; INDEX(ACTIVITYKEY!$A$11:$C$41,COLUMN(L7)-1,2)</f>
        <v>10  [J/S] Archery/Pellet Guns</v>
      </c>
      <c r="M7" s="4" t="str">
        <f>INDEX(ACTIVITYKEY!$A$11:$C$41,COLUMN(M6)-1,1) &amp; "  " &amp; INDEX(ACTIVITYKEY!$A$11:$C$41,COLUMN(M7)-1,2)</f>
        <v>11  [J/S] Aunt Saloma's Kitchen</v>
      </c>
      <c r="N7" s="4" t="str">
        <f>INDEX(ACTIVITYKEY!$A$11:$C$41,COLUMN(N6)-1,1) &amp; "  " &amp; INDEX(ACTIVITYKEY!$A$11:$C$41,COLUMN(N7)-1,2)</f>
        <v>12  [J/S] Fishing</v>
      </c>
      <c r="O7" s="4" t="str">
        <f>INDEX(ACTIVITYKEY!$A$11:$C$41,COLUMN(O6)-1,1) &amp; "  " &amp; INDEX(ACTIVITYKEY!$A$11:$C$41,COLUMN(O7)-1,2)</f>
        <v>13  [J/S] Rock Climbing</v>
      </c>
      <c r="P7" s="4" t="str">
        <f>INDEX(ACTIVITYKEY!$A$11:$C$41,COLUMN(P6)-1,1) &amp; "  " &amp; INDEX(ACTIVITYKEY!$A$11:$C$41,COLUMN(P7)-1,2)</f>
        <v xml:space="preserve">14  </v>
      </c>
      <c r="Q7" s="4" t="str">
        <f>INDEX(ACTIVITYKEY!$A$11:$C$41,COLUMN(Q6)-1,1) &amp; "  " &amp; INDEX(ACTIVITYKEY!$A$11:$C$41,COLUMN(Q7)-1,2)</f>
        <v xml:space="preserve">15  </v>
      </c>
      <c r="R7" s="4" t="str">
        <f>INDEX(ACTIVITYKEY!$A$11:$C$41,COLUMN(R6)-1,1) &amp; "  " &amp; INDEX(ACTIVITYKEY!$A$11:$C$41,COLUMN(R7)-1,2)</f>
        <v xml:space="preserve">16  </v>
      </c>
      <c r="S7" s="4" t="str">
        <f>INDEX(ACTIVITYKEY!$A$11:$C$41,COLUMN(S6)-1,1) &amp; "  " &amp; INDEX(ACTIVITYKEY!$A$11:$C$41,COLUMN(S7)-1,2)</f>
        <v xml:space="preserve">17  </v>
      </c>
      <c r="T7" s="4" t="str">
        <f>INDEX(ACTIVITYKEY!$A$11:$C$41,COLUMN(T6)-1,1) &amp; "  " &amp; INDEX(ACTIVITYKEY!$A$11:$C$41,COLUMN(T7)-1,2)</f>
        <v xml:space="preserve">18  </v>
      </c>
      <c r="U7" s="4" t="str">
        <f>INDEX(ACTIVITYKEY!$A$11:$C$41,COLUMN(U6)-1,1) &amp; "  " &amp; INDEX(ACTIVITYKEY!$A$11:$C$41,COLUMN(U7)-1,2)</f>
        <v xml:space="preserve">19  </v>
      </c>
      <c r="V7" s="4" t="str">
        <f>INDEX(ACTIVITYKEY!$A$11:$C$41,COLUMN(V6)-1,1) &amp; "  " &amp; INDEX(ACTIVITYKEY!$A$11:$C$41,COLUMN(V7)-1,2)</f>
        <v xml:space="preserve">20  </v>
      </c>
      <c r="W7" s="4" t="str">
        <f>INDEX(ACTIVITYKEY!$A$11:$C$41,COLUMN(W6)-1,1) &amp; "  " &amp; INDEX(ACTIVITYKEY!$A$11:$C$41,COLUMN(W7)-1,2)</f>
        <v xml:space="preserve">  </v>
      </c>
      <c r="X7" s="4" t="str">
        <f>INDEX(ACTIVITYKEY!$A$11:$C$41,COLUMN(X6)-1,1) &amp; "  " &amp; INDEX(ACTIVITYKEY!$A$11:$C$41,COLUMN(X7)-1,2)</f>
        <v xml:space="preserve">  </v>
      </c>
      <c r="Y7" s="4" t="str">
        <f>INDEX(ACTIVITYKEY!$A$11:$C$41,COLUMN(Y6)-1,1) &amp; "  " &amp; INDEX(ACTIVITYKEY!$A$11:$C$41,COLUMN(Y7)-1,2)</f>
        <v xml:space="preserve">  </v>
      </c>
      <c r="Z7" s="4" t="str">
        <f>INDEX(ACTIVITYKEY!$A$11:$C$41,COLUMN(Z6)-1,1) &amp; "  " &amp; INDEX(ACTIVITYKEY!$A$11:$C$41,COLUMN(Z7)-1,2)</f>
        <v xml:space="preserve">  </v>
      </c>
      <c r="AA7" s="4" t="str">
        <f>INDEX(ACTIVITYKEY!$A$11:$C$41,COLUMN(AA6)-1,1) &amp; "  " &amp; INDEX(ACTIVITYKEY!$A$11:$C$41,COLUMN(AA7)-1,2)</f>
        <v xml:space="preserve">  </v>
      </c>
      <c r="AB7" s="4" t="str">
        <f>INDEX(ACTIVITYKEY!$A$11:$C$41,COLUMN(AB6)-1,1) &amp; "  " &amp; INDEX(ACTIVITYKEY!$A$11:$C$41,COLUMN(AB7)-1,2)</f>
        <v xml:space="preserve">  </v>
      </c>
      <c r="AC7" s="4" t="str">
        <f>INDEX(ACTIVITYKEY!$A$11:$C$41,COLUMN(AC6)-1,1) &amp; "  " &amp; INDEX(ACTIVITYKEY!$A$11:$C$41,COLUMN(AC7)-1,2)</f>
        <v xml:space="preserve">  </v>
      </c>
      <c r="AD7" s="4" t="str">
        <f>INDEX(ACTIVITYKEY!$A$11:$C$41,COLUMN(AD6)-1,1) &amp; "  " &amp; INDEX(ACTIVITYKEY!$A$11:$C$41,COLUMN(AD7)-1,2)</f>
        <v xml:space="preserve">  </v>
      </c>
      <c r="AE7" s="4" t="str">
        <f>INDEX(ACTIVITYKEY!$A$11:$C$41,COLUMN(AE6)-1,1) &amp; "  " &amp; INDEX(ACTIVITYKEY!$A$11:$C$41,COLUMN(AE7)-1,2)</f>
        <v xml:space="preserve">  </v>
      </c>
      <c r="AF7" s="4" t="str">
        <f>INDEX(ACTIVITYKEY!$A$11:$C$41,COLUMN(AF6)-1,1) &amp; "  " &amp; INDEX(ACTIVITYKEY!$A$11:$C$41,COLUMN(AF7)-1,2)</f>
        <v xml:space="preserve">  </v>
      </c>
    </row>
    <row r="8" spans="1:32" x14ac:dyDescent="0.3">
      <c r="A8" s="5" t="s">
        <v>79</v>
      </c>
      <c r="B8" s="4">
        <f>COUNTA(B11:B310)</f>
        <v>0</v>
      </c>
      <c r="C8" s="4">
        <f t="shared" ref="C8:AE8" si="0">COUNTA(C11:C310)</f>
        <v>0</v>
      </c>
      <c r="D8" s="4">
        <f t="shared" si="0"/>
        <v>0</v>
      </c>
      <c r="E8" s="4">
        <f t="shared" si="0"/>
        <v>0</v>
      </c>
      <c r="F8" s="4">
        <f t="shared" si="0"/>
        <v>0</v>
      </c>
      <c r="G8" s="4">
        <f t="shared" si="0"/>
        <v>0</v>
      </c>
      <c r="H8" s="4">
        <f t="shared" si="0"/>
        <v>0</v>
      </c>
      <c r="I8" s="4">
        <f t="shared" si="0"/>
        <v>0</v>
      </c>
      <c r="J8" s="4">
        <f t="shared" si="0"/>
        <v>0</v>
      </c>
      <c r="K8" s="4">
        <f t="shared" si="0"/>
        <v>0</v>
      </c>
      <c r="L8" s="4">
        <f t="shared" si="0"/>
        <v>0</v>
      </c>
      <c r="M8" s="4">
        <f t="shared" si="0"/>
        <v>0</v>
      </c>
      <c r="N8" s="4">
        <f t="shared" si="0"/>
        <v>0</v>
      </c>
      <c r="O8" s="4">
        <f t="shared" si="0"/>
        <v>0</v>
      </c>
      <c r="P8" s="4">
        <f t="shared" si="0"/>
        <v>0</v>
      </c>
      <c r="Q8" s="4">
        <f t="shared" si="0"/>
        <v>0</v>
      </c>
      <c r="R8" s="4">
        <f t="shared" si="0"/>
        <v>0</v>
      </c>
      <c r="S8" s="4">
        <f t="shared" si="0"/>
        <v>0</v>
      </c>
      <c r="T8" s="4">
        <f t="shared" si="0"/>
        <v>0</v>
      </c>
      <c r="U8" s="4">
        <f t="shared" si="0"/>
        <v>0</v>
      </c>
      <c r="V8" s="4">
        <f t="shared" si="0"/>
        <v>0</v>
      </c>
      <c r="W8" s="4">
        <f t="shared" si="0"/>
        <v>0</v>
      </c>
      <c r="X8" s="4">
        <f t="shared" si="0"/>
        <v>0</v>
      </c>
      <c r="Y8" s="4">
        <f t="shared" si="0"/>
        <v>0</v>
      </c>
      <c r="Z8" s="4">
        <f t="shared" si="0"/>
        <v>0</v>
      </c>
      <c r="AA8" s="4">
        <f t="shared" si="0"/>
        <v>0</v>
      </c>
      <c r="AB8" s="4">
        <f t="shared" si="0"/>
        <v>0</v>
      </c>
      <c r="AC8" s="4">
        <f t="shared" si="0"/>
        <v>0</v>
      </c>
      <c r="AD8" s="4">
        <f t="shared" si="0"/>
        <v>0</v>
      </c>
      <c r="AE8" s="4">
        <f t="shared" si="0"/>
        <v>0</v>
      </c>
      <c r="AF8" s="4">
        <f>COUNTA(AF11:AF310)</f>
        <v>0</v>
      </c>
    </row>
    <row r="9" spans="1:32" x14ac:dyDescent="0.3">
      <c r="A9" s="5" t="s">
        <v>78</v>
      </c>
      <c r="B9" s="4">
        <f>INDEX(ACTIVITYKEY!$A$11:$C$41,COLUMN(B9)-1,3)</f>
        <v>999</v>
      </c>
      <c r="C9" s="4">
        <f>INDEX(ACTIVITYKEY!$A$11:$C$41,COLUMN(C9)-1,3)</f>
        <v>30</v>
      </c>
      <c r="D9" s="4">
        <f>INDEX(ACTIVITYKEY!$A$11:$C$41,COLUMN(D9)-1,3)</f>
        <v>15</v>
      </c>
      <c r="E9" s="4">
        <f>INDEX(ACTIVITYKEY!$A$11:$C$41,COLUMN(E9)-1,3)</f>
        <v>20</v>
      </c>
      <c r="F9" s="4">
        <f>INDEX(ACTIVITYKEY!$A$11:$C$41,COLUMN(F9)-1,3)</f>
        <v>20</v>
      </c>
      <c r="G9" s="4">
        <f>INDEX(ACTIVITYKEY!$A$11:$C$41,COLUMN(G9)-1,3)</f>
        <v>50</v>
      </c>
      <c r="H9" s="4">
        <f>INDEX(ACTIVITYKEY!$A$11:$C$41,COLUMN(H9)-1,3)</f>
        <v>20</v>
      </c>
      <c r="I9" s="4">
        <f>INDEX(ACTIVITYKEY!$A$11:$C$41,COLUMN(I9)-1,3)</f>
        <v>10</v>
      </c>
      <c r="J9" s="4">
        <f>INDEX(ACTIVITYKEY!$A$11:$C$41,COLUMN(J9)-1,3)</f>
        <v>10</v>
      </c>
      <c r="K9" s="4">
        <f>INDEX(ACTIVITYKEY!$A$11:$C$41,COLUMN(K9)-1,3)</f>
        <v>20</v>
      </c>
      <c r="L9" s="4">
        <f>INDEX(ACTIVITYKEY!$A$11:$C$41,COLUMN(L9)-1,3)</f>
        <v>8</v>
      </c>
      <c r="M9" s="4">
        <f>INDEX(ACTIVITYKEY!$A$11:$C$41,COLUMN(M9)-1,3)</f>
        <v>8</v>
      </c>
      <c r="N9" s="4">
        <f>INDEX(ACTIVITYKEY!$A$11:$C$41,COLUMN(N9)-1,3)</f>
        <v>8</v>
      </c>
      <c r="O9" s="4">
        <f>INDEX(ACTIVITYKEY!$A$11:$C$41,COLUMN(O9)-1,3)</f>
        <v>8</v>
      </c>
      <c r="P9" s="4">
        <f>INDEX(ACTIVITYKEY!$A$11:$C$41,COLUMN(P9)-1,3)</f>
        <v>0</v>
      </c>
      <c r="Q9" s="4">
        <f>INDEX(ACTIVITYKEY!$A$11:$C$41,COLUMN(Q9)-1,3)</f>
        <v>0</v>
      </c>
      <c r="R9" s="4">
        <f>INDEX(ACTIVITYKEY!$A$11:$C$41,COLUMN(R9)-1,3)</f>
        <v>0</v>
      </c>
      <c r="S9" s="4">
        <f>INDEX(ACTIVITYKEY!$A$11:$C$41,COLUMN(S9)-1,3)</f>
        <v>0</v>
      </c>
      <c r="T9" s="4">
        <f>INDEX(ACTIVITYKEY!$A$11:$C$41,COLUMN(T9)-1,3)</f>
        <v>0</v>
      </c>
      <c r="U9" s="4">
        <f>INDEX(ACTIVITYKEY!$A$11:$C$41,COLUMN(U9)-1,3)</f>
        <v>0</v>
      </c>
      <c r="V9" s="4">
        <f>INDEX(ACTIVITYKEY!$A$11:$C$41,COLUMN(V9)-1,3)</f>
        <v>0</v>
      </c>
      <c r="W9" s="4">
        <f>INDEX(ACTIVITYKEY!$A$11:$C$41,COLUMN(W9)-1,3)</f>
        <v>0</v>
      </c>
      <c r="X9" s="4">
        <f>INDEX(ACTIVITYKEY!$A$11:$C$41,COLUMN(X9)-1,3)</f>
        <v>0</v>
      </c>
      <c r="Y9" s="4">
        <f>INDEX(ACTIVITYKEY!$A$11:$C$41,COLUMN(Y9)-1,3)</f>
        <v>0</v>
      </c>
      <c r="Z9" s="4">
        <f>INDEX(ACTIVITYKEY!$A$11:$C$41,COLUMN(Z9)-1,3)</f>
        <v>0</v>
      </c>
      <c r="AA9" s="4">
        <f>INDEX(ACTIVITYKEY!$A$11:$C$41,COLUMN(AA9)-1,3)</f>
        <v>0</v>
      </c>
      <c r="AB9" s="4">
        <f>INDEX(ACTIVITYKEY!$A$11:$C$41,COLUMN(AB9)-1,3)</f>
        <v>0</v>
      </c>
      <c r="AC9" s="4">
        <f>INDEX(ACTIVITYKEY!$A$11:$C$41,COLUMN(AC9)-1,3)</f>
        <v>0</v>
      </c>
      <c r="AD9" s="4">
        <f>INDEX(ACTIVITYKEY!$A$11:$C$41,COLUMN(AD9)-1,3)</f>
        <v>0</v>
      </c>
      <c r="AE9" s="4">
        <f>INDEX(ACTIVITYKEY!$A$11:$C$41,COLUMN(AE9)-1,3)</f>
        <v>0</v>
      </c>
      <c r="AF9" s="4">
        <f>INDEX(ACTIVITYKEY!$A$11:$C$41,COLUMN(AF9)-1,3)</f>
        <v>0</v>
      </c>
    </row>
    <row r="10" spans="1:32" x14ac:dyDescent="0.3">
      <c r="A10" s="6" t="s">
        <v>80</v>
      </c>
      <c r="B10" s="8">
        <f>B9-B8</f>
        <v>999</v>
      </c>
      <c r="C10" s="8">
        <f t="shared" ref="C10:AE10" si="1">C9-C8</f>
        <v>30</v>
      </c>
      <c r="D10" s="8">
        <f t="shared" si="1"/>
        <v>15</v>
      </c>
      <c r="E10" s="8">
        <f t="shared" si="1"/>
        <v>20</v>
      </c>
      <c r="F10" s="8">
        <f t="shared" si="1"/>
        <v>20</v>
      </c>
      <c r="G10" s="8">
        <f t="shared" si="1"/>
        <v>50</v>
      </c>
      <c r="H10" s="8">
        <f t="shared" si="1"/>
        <v>20</v>
      </c>
      <c r="I10" s="8">
        <f t="shared" si="1"/>
        <v>10</v>
      </c>
      <c r="J10" s="8">
        <f t="shared" si="1"/>
        <v>10</v>
      </c>
      <c r="K10" s="8">
        <f t="shared" si="1"/>
        <v>20</v>
      </c>
      <c r="L10" s="8">
        <f t="shared" si="1"/>
        <v>8</v>
      </c>
      <c r="M10" s="8">
        <f t="shared" si="1"/>
        <v>8</v>
      </c>
      <c r="N10" s="8">
        <f t="shared" si="1"/>
        <v>8</v>
      </c>
      <c r="O10" s="8">
        <f t="shared" si="1"/>
        <v>8</v>
      </c>
      <c r="P10" s="8">
        <f t="shared" si="1"/>
        <v>0</v>
      </c>
      <c r="Q10" s="8">
        <f t="shared" si="1"/>
        <v>0</v>
      </c>
      <c r="R10" s="8">
        <f t="shared" si="1"/>
        <v>0</v>
      </c>
      <c r="S10" s="8">
        <f t="shared" si="1"/>
        <v>0</v>
      </c>
      <c r="T10" s="8">
        <f t="shared" si="1"/>
        <v>0</v>
      </c>
      <c r="U10" s="8">
        <f t="shared" si="1"/>
        <v>0</v>
      </c>
      <c r="V10" s="8">
        <f t="shared" si="1"/>
        <v>0</v>
      </c>
      <c r="W10" s="8">
        <f t="shared" si="1"/>
        <v>0</v>
      </c>
      <c r="X10" s="8">
        <f t="shared" si="1"/>
        <v>0</v>
      </c>
      <c r="Y10" s="8">
        <f t="shared" si="1"/>
        <v>0</v>
      </c>
      <c r="Z10" s="8">
        <f t="shared" si="1"/>
        <v>0</v>
      </c>
      <c r="AA10" s="8">
        <f t="shared" si="1"/>
        <v>0</v>
      </c>
      <c r="AB10" s="8">
        <f t="shared" si="1"/>
        <v>0</v>
      </c>
      <c r="AC10" s="8">
        <f t="shared" si="1"/>
        <v>0</v>
      </c>
      <c r="AD10" s="8">
        <f t="shared" si="1"/>
        <v>0</v>
      </c>
      <c r="AE10" s="8">
        <f t="shared" si="1"/>
        <v>0</v>
      </c>
      <c r="AF10" s="8">
        <f>AF9-AF8</f>
        <v>0</v>
      </c>
    </row>
    <row r="11" spans="1:32" x14ac:dyDescent="0.3">
      <c r="A11" s="5">
        <v>1</v>
      </c>
    </row>
    <row r="12" spans="1:32" x14ac:dyDescent="0.3">
      <c r="A12" s="5">
        <v>2</v>
      </c>
    </row>
    <row r="13" spans="1:32" x14ac:dyDescent="0.3">
      <c r="A13" s="5">
        <v>3</v>
      </c>
    </row>
    <row r="14" spans="1:32" x14ac:dyDescent="0.3">
      <c r="A14" s="5">
        <v>4</v>
      </c>
    </row>
    <row r="15" spans="1:32" x14ac:dyDescent="0.3">
      <c r="A15" s="5">
        <v>5</v>
      </c>
    </row>
    <row r="16" spans="1:32" x14ac:dyDescent="0.3">
      <c r="A16" s="5">
        <v>6</v>
      </c>
    </row>
    <row r="17" spans="1:1" x14ac:dyDescent="0.3">
      <c r="A17" s="5">
        <v>7</v>
      </c>
    </row>
    <row r="18" spans="1:1" x14ac:dyDescent="0.3">
      <c r="A18" s="5">
        <v>8</v>
      </c>
    </row>
    <row r="19" spans="1:1" x14ac:dyDescent="0.3">
      <c r="A19" s="5">
        <v>9</v>
      </c>
    </row>
    <row r="20" spans="1:1" x14ac:dyDescent="0.3">
      <c r="A20" s="6">
        <v>10</v>
      </c>
    </row>
    <row r="21" spans="1:1" x14ac:dyDescent="0.3">
      <c r="A21" s="5">
        <v>11</v>
      </c>
    </row>
    <row r="22" spans="1:1" x14ac:dyDescent="0.3">
      <c r="A22" s="5">
        <v>12</v>
      </c>
    </row>
    <row r="23" spans="1:1" x14ac:dyDescent="0.3">
      <c r="A23" s="5">
        <v>13</v>
      </c>
    </row>
    <row r="24" spans="1:1" x14ac:dyDescent="0.3">
      <c r="A24" s="5">
        <v>14</v>
      </c>
    </row>
    <row r="25" spans="1:1" x14ac:dyDescent="0.3">
      <c r="A25" s="5">
        <v>15</v>
      </c>
    </row>
    <row r="26" spans="1:1" x14ac:dyDescent="0.3">
      <c r="A26" s="5">
        <v>16</v>
      </c>
    </row>
    <row r="27" spans="1:1" x14ac:dyDescent="0.3">
      <c r="A27" s="5">
        <v>17</v>
      </c>
    </row>
    <row r="28" spans="1:1" x14ac:dyDescent="0.3">
      <c r="A28" s="5">
        <v>18</v>
      </c>
    </row>
    <row r="29" spans="1:1" x14ac:dyDescent="0.3">
      <c r="A29" s="5">
        <v>19</v>
      </c>
    </row>
    <row r="30" spans="1:1" x14ac:dyDescent="0.3">
      <c r="A30" s="6">
        <v>20</v>
      </c>
    </row>
    <row r="31" spans="1:1" x14ac:dyDescent="0.3">
      <c r="A31" s="5">
        <v>21</v>
      </c>
    </row>
    <row r="32" spans="1:1" x14ac:dyDescent="0.3">
      <c r="A32" s="5">
        <v>22</v>
      </c>
    </row>
    <row r="33" spans="1:1" x14ac:dyDescent="0.3">
      <c r="A33" s="5">
        <v>23</v>
      </c>
    </row>
    <row r="34" spans="1:1" x14ac:dyDescent="0.3">
      <c r="A34" s="5">
        <v>24</v>
      </c>
    </row>
    <row r="35" spans="1:1" x14ac:dyDescent="0.3">
      <c r="A35" s="5">
        <v>25</v>
      </c>
    </row>
  </sheetData>
  <pageMargins left="0.5" right="0.5" top="0.5" bottom="0.5" header="0.3" footer="0.3"/>
  <pageSetup fitToWidth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25F84-FB31-42A6-A8D5-AB22E59E9AAB}">
  <sheetPr codeName="Sheet8"/>
  <dimension ref="A1:AF35"/>
  <sheetViews>
    <sheetView zoomScale="70" zoomScaleNormal="70" workbookViewId="0">
      <pane xSplit="1" topLeftCell="B1" activePane="topRight" state="frozen"/>
      <selection pane="topRight" activeCell="A7" sqref="A7"/>
    </sheetView>
  </sheetViews>
  <sheetFormatPr defaultRowHeight="14.4" x14ac:dyDescent="0.3"/>
  <cols>
    <col min="1" max="1" width="12" style="5" bestFit="1" customWidth="1"/>
    <col min="2" max="15" width="30.77734375" customWidth="1"/>
    <col min="16" max="32" width="30.77734375" hidden="1" customWidth="1"/>
  </cols>
  <sheetData>
    <row r="1" spans="1:32" hidden="1" x14ac:dyDescent="0.3"/>
    <row r="2" spans="1:32" hidden="1" x14ac:dyDescent="0.3"/>
    <row r="3" spans="1:32" hidden="1" x14ac:dyDescent="0.3"/>
    <row r="4" spans="1:32" hidden="1" x14ac:dyDescent="0.3"/>
    <row r="5" spans="1:32" hidden="1" x14ac:dyDescent="0.3"/>
    <row r="6" spans="1:32" hidden="1" x14ac:dyDescent="0.3">
      <c r="A6" s="5" t="s">
        <v>14</v>
      </c>
      <c r="B6">
        <f>INDEX(ACTIVITYKEY!$A$11:$C$41,COLUMN(B6)-1,1)</f>
        <v>0</v>
      </c>
      <c r="C6">
        <f>INDEX(ACTIVITYKEY!$A$11:$C$41,COLUMN(C6)-1,1)</f>
        <v>1</v>
      </c>
      <c r="D6">
        <f>INDEX(ACTIVITYKEY!$A$11:$C$41,COLUMN(D6)-1,1)</f>
        <v>2</v>
      </c>
      <c r="E6">
        <f>INDEX(ACTIVITYKEY!$A$11:$C$41,COLUMN(E6)-1,1)</f>
        <v>3</v>
      </c>
      <c r="F6">
        <f>INDEX(ACTIVITYKEY!$A$11:$C$41,COLUMN(F6)-1,1)</f>
        <v>4</v>
      </c>
      <c r="G6">
        <f>INDEX(ACTIVITYKEY!$A$11:$C$41,COLUMN(G6)-1,1)</f>
        <v>5</v>
      </c>
      <c r="H6">
        <f>INDEX(ACTIVITYKEY!$A$11:$C$41,COLUMN(H6)-1,1)</f>
        <v>6</v>
      </c>
      <c r="I6">
        <f>INDEX(ACTIVITYKEY!$A$11:$C$41,COLUMN(I6)-1,1)</f>
        <v>7</v>
      </c>
      <c r="J6">
        <f>INDEX(ACTIVITYKEY!$A$11:$C$41,COLUMN(J6)-1,1)</f>
        <v>8</v>
      </c>
      <c r="K6">
        <f>INDEX(ACTIVITYKEY!$A$11:$C$41,COLUMN(K6)-1,1)</f>
        <v>9</v>
      </c>
      <c r="L6">
        <f>INDEX(ACTIVITYKEY!$A$11:$C$41,COLUMN(L6)-1,1)</f>
        <v>10</v>
      </c>
      <c r="M6">
        <f>INDEX(ACTIVITYKEY!$A$11:$C$41,COLUMN(M6)-1,1)</f>
        <v>11</v>
      </c>
      <c r="N6">
        <f>INDEX(ACTIVITYKEY!$A$11:$C$41,COLUMN(N6)-1,1)</f>
        <v>12</v>
      </c>
      <c r="O6">
        <f>INDEX(ACTIVITYKEY!$A$11:$C$41,COLUMN(O6)-1,1)</f>
        <v>13</v>
      </c>
      <c r="P6">
        <f>INDEX(ACTIVITYKEY!$A$11:$C$41,COLUMN(P6)-1,1)</f>
        <v>14</v>
      </c>
      <c r="Q6">
        <f>INDEX(ACTIVITYKEY!$A$11:$C$41,COLUMN(Q6)-1,1)</f>
        <v>15</v>
      </c>
      <c r="R6">
        <f>INDEX(ACTIVITYKEY!$A$11:$C$41,COLUMN(R6)-1,1)</f>
        <v>16</v>
      </c>
      <c r="S6">
        <f>INDEX(ACTIVITYKEY!$A$11:$C$41,COLUMN(S6)-1,1)</f>
        <v>17</v>
      </c>
      <c r="T6">
        <f>INDEX(ACTIVITYKEY!$A$11:$C$41,COLUMN(T6)-1,1)</f>
        <v>18</v>
      </c>
      <c r="U6">
        <f>INDEX(ACTIVITYKEY!$A$11:$C$41,COLUMN(U6)-1,1)</f>
        <v>19</v>
      </c>
      <c r="V6">
        <f>INDEX(ACTIVITYKEY!$A$11:$C$41,COLUMN(V6)-1,1)</f>
        <v>20</v>
      </c>
      <c r="W6">
        <f>INDEX(ACTIVITYKEY!$A$11:$C$41,COLUMN(W6)-1,1)</f>
        <v>0</v>
      </c>
      <c r="X6">
        <f>INDEX(ACTIVITYKEY!$A$11:$C$41,COLUMN(X6)-1,1)</f>
        <v>0</v>
      </c>
      <c r="Y6">
        <f>INDEX(ACTIVITYKEY!$A$11:$C$41,COLUMN(Y6)-1,1)</f>
        <v>0</v>
      </c>
      <c r="Z6">
        <f>INDEX(ACTIVITYKEY!$A$11:$C$41,COLUMN(Z6)-1,1)</f>
        <v>0</v>
      </c>
      <c r="AA6">
        <f>INDEX(ACTIVITYKEY!$A$11:$C$41,COLUMN(AA6)-1,1)</f>
        <v>0</v>
      </c>
      <c r="AB6">
        <f>INDEX(ACTIVITYKEY!$A$11:$C$41,COLUMN(AB6)-1,1)</f>
        <v>0</v>
      </c>
      <c r="AC6">
        <f>INDEX(ACTIVITYKEY!$A$11:$C$41,COLUMN(AC6)-1,1)</f>
        <v>0</v>
      </c>
      <c r="AD6">
        <f>INDEX(ACTIVITYKEY!$A$11:$C$41,COLUMN(AD6)-1,1)</f>
        <v>0</v>
      </c>
      <c r="AE6">
        <f>INDEX(ACTIVITYKEY!$A$11:$C$41,COLUMN(AE6)-1,1)</f>
        <v>0</v>
      </c>
      <c r="AF6">
        <f>INDEX(ACTIVITYKEY!$A$11:$C$41,COLUMN(AF6)-1,1)</f>
        <v>0</v>
      </c>
    </row>
    <row r="7" spans="1:32" x14ac:dyDescent="0.3">
      <c r="A7" s="5" t="s">
        <v>94</v>
      </c>
      <c r="B7" s="4" t="str">
        <f>INDEX(ACTIVITYKEY!$A$11:$C$41,COLUMN(B6)-1,1) &amp; "  " &amp; INDEX(ACTIVITYKEY!$A$11:$C$41,COLUMN(B7)-1,2)</f>
        <v>0  Not Assigned</v>
      </c>
      <c r="C7" s="4" t="str">
        <f>INDEX(ACTIVITYKEY!$A$11:$C$41,COLUMN(C6)-1,1) &amp; "  " &amp; INDEX(ACTIVITYKEY!$A$11:$C$41,COLUMN(C7)-1,2)</f>
        <v>1  [CABINS] Tubing</v>
      </c>
      <c r="D7" s="4" t="str">
        <f>INDEX(ACTIVITYKEY!$A$11:$C$41,COLUMN(D6)-1,1) &amp; "  " &amp; INDEX(ACTIVITYKEY!$A$11:$C$41,COLUMN(D7)-1,2)</f>
        <v>2  [All] Arts and Crafts</v>
      </c>
      <c r="E7" s="4" t="str">
        <f>INDEX(ACTIVITYKEY!$A$11:$C$41,COLUMN(E6)-1,1) &amp; "  " &amp; INDEX(ACTIVITYKEY!$A$11:$C$41,COLUMN(E7)-1,2)</f>
        <v>3  [All] Basketball</v>
      </c>
      <c r="F7" s="4" t="str">
        <f>INDEX(ACTIVITYKEY!$A$11:$C$41,COLUMN(F6)-1,1) &amp; "  " &amp; INDEX(ACTIVITYKEY!$A$11:$C$41,COLUMN(F7)-1,2)</f>
        <v>4  [All] Canoe/Kayak</v>
      </c>
      <c r="G7" s="4" t="str">
        <f>INDEX(ACTIVITYKEY!$A$11:$C$41,COLUMN(G6)-1,1) &amp; "  " &amp; INDEX(ACTIVITYKEY!$A$11:$C$41,COLUMN(G7)-1,2)</f>
        <v>5  [All] Free Swim</v>
      </c>
      <c r="H7" s="4" t="str">
        <f>INDEX(ACTIVITYKEY!$A$11:$C$41,COLUMN(H6)-1,1) &amp; "  " &amp; INDEX(ACTIVITYKEY!$A$11:$C$41,COLUMN(H7)-1,2)</f>
        <v>6  [All] Soccer</v>
      </c>
      <c r="I7" s="4" t="str">
        <f>INDEX(ACTIVITYKEY!$A$11:$C$41,COLUMN(I6)-1,1) &amp; "  " &amp; INDEX(ACTIVITYKEY!$A$11:$C$41,COLUMN(I7)-1,2)</f>
        <v>7  [All] Frog Hunting</v>
      </c>
      <c r="J7" s="4" t="str">
        <f>INDEX(ACTIVITYKEY!$A$11:$C$41,COLUMN(J6)-1,1) &amp; "  " &amp; INDEX(ACTIVITYKEY!$A$11:$C$41,COLUMN(J7)-1,2)</f>
        <v>8  [All] Tennis</v>
      </c>
      <c r="K7" s="4" t="str">
        <f>INDEX(ACTIVITYKEY!$A$11:$C$41,COLUMN(K6)-1,1) &amp; "  " &amp; INDEX(ACTIVITYKEY!$A$11:$C$41,COLUMN(K7)-1,2)</f>
        <v>9  [All] Basketball/Dodgeball</v>
      </c>
      <c r="L7" s="4" t="str">
        <f>INDEX(ACTIVITYKEY!$A$11:$C$41,COLUMN(L6)-1,1) &amp; "  " &amp; INDEX(ACTIVITYKEY!$A$11:$C$41,COLUMN(L7)-1,2)</f>
        <v>10  [J/S] Archery/Pellet Guns</v>
      </c>
      <c r="M7" s="4" t="str">
        <f>INDEX(ACTIVITYKEY!$A$11:$C$41,COLUMN(M6)-1,1) &amp; "  " &amp; INDEX(ACTIVITYKEY!$A$11:$C$41,COLUMN(M7)-1,2)</f>
        <v>11  [J/S] Aunt Saloma's Kitchen</v>
      </c>
      <c r="N7" s="4" t="str">
        <f>INDEX(ACTIVITYKEY!$A$11:$C$41,COLUMN(N6)-1,1) &amp; "  " &amp; INDEX(ACTIVITYKEY!$A$11:$C$41,COLUMN(N7)-1,2)</f>
        <v>12  [J/S] Fishing</v>
      </c>
      <c r="O7" s="4" t="str">
        <f>INDEX(ACTIVITYKEY!$A$11:$C$41,COLUMN(O6)-1,1) &amp; "  " &amp; INDEX(ACTIVITYKEY!$A$11:$C$41,COLUMN(O7)-1,2)</f>
        <v>13  [J/S] Rock Climbing</v>
      </c>
      <c r="P7" s="4" t="str">
        <f>INDEX(ACTIVITYKEY!$A$11:$C$41,COLUMN(P6)-1,1) &amp; "  " &amp; INDEX(ACTIVITYKEY!$A$11:$C$41,COLUMN(P7)-1,2)</f>
        <v xml:space="preserve">14  </v>
      </c>
      <c r="Q7" s="4" t="str">
        <f>INDEX(ACTIVITYKEY!$A$11:$C$41,COLUMN(Q6)-1,1) &amp; "  " &amp; INDEX(ACTIVITYKEY!$A$11:$C$41,COLUMN(Q7)-1,2)</f>
        <v xml:space="preserve">15  </v>
      </c>
      <c r="R7" s="4" t="str">
        <f>INDEX(ACTIVITYKEY!$A$11:$C$41,COLUMN(R6)-1,1) &amp; "  " &amp; INDEX(ACTIVITYKEY!$A$11:$C$41,COLUMN(R7)-1,2)</f>
        <v xml:space="preserve">16  </v>
      </c>
      <c r="S7" s="4" t="str">
        <f>INDEX(ACTIVITYKEY!$A$11:$C$41,COLUMN(S6)-1,1) &amp; "  " &amp; INDEX(ACTIVITYKEY!$A$11:$C$41,COLUMN(S7)-1,2)</f>
        <v xml:space="preserve">17  </v>
      </c>
      <c r="T7" s="4" t="str">
        <f>INDEX(ACTIVITYKEY!$A$11:$C$41,COLUMN(T6)-1,1) &amp; "  " &amp; INDEX(ACTIVITYKEY!$A$11:$C$41,COLUMN(T7)-1,2)</f>
        <v xml:space="preserve">18  </v>
      </c>
      <c r="U7" s="4" t="str">
        <f>INDEX(ACTIVITYKEY!$A$11:$C$41,COLUMN(U6)-1,1) &amp; "  " &amp; INDEX(ACTIVITYKEY!$A$11:$C$41,COLUMN(U7)-1,2)</f>
        <v xml:space="preserve">19  </v>
      </c>
      <c r="V7" s="4" t="str">
        <f>INDEX(ACTIVITYKEY!$A$11:$C$41,COLUMN(V6)-1,1) &amp; "  " &amp; INDEX(ACTIVITYKEY!$A$11:$C$41,COLUMN(V7)-1,2)</f>
        <v xml:space="preserve">20  </v>
      </c>
      <c r="W7" s="4" t="str">
        <f>INDEX(ACTIVITYKEY!$A$11:$C$41,COLUMN(W6)-1,1) &amp; "  " &amp; INDEX(ACTIVITYKEY!$A$11:$C$41,COLUMN(W7)-1,2)</f>
        <v xml:space="preserve">  </v>
      </c>
      <c r="X7" s="4" t="str">
        <f>INDEX(ACTIVITYKEY!$A$11:$C$41,COLUMN(X6)-1,1) &amp; "  " &amp; INDEX(ACTIVITYKEY!$A$11:$C$41,COLUMN(X7)-1,2)</f>
        <v xml:space="preserve">  </v>
      </c>
      <c r="Y7" s="4" t="str">
        <f>INDEX(ACTIVITYKEY!$A$11:$C$41,COLUMN(Y6)-1,1) &amp; "  " &amp; INDEX(ACTIVITYKEY!$A$11:$C$41,COLUMN(Y7)-1,2)</f>
        <v xml:space="preserve">  </v>
      </c>
      <c r="Z7" s="4" t="str">
        <f>INDEX(ACTIVITYKEY!$A$11:$C$41,COLUMN(Z6)-1,1) &amp; "  " &amp; INDEX(ACTIVITYKEY!$A$11:$C$41,COLUMN(Z7)-1,2)</f>
        <v xml:space="preserve">  </v>
      </c>
      <c r="AA7" s="4" t="str">
        <f>INDEX(ACTIVITYKEY!$A$11:$C$41,COLUMN(AA6)-1,1) &amp; "  " &amp; INDEX(ACTIVITYKEY!$A$11:$C$41,COLUMN(AA7)-1,2)</f>
        <v xml:space="preserve">  </v>
      </c>
      <c r="AB7" s="4" t="str">
        <f>INDEX(ACTIVITYKEY!$A$11:$C$41,COLUMN(AB6)-1,1) &amp; "  " &amp; INDEX(ACTIVITYKEY!$A$11:$C$41,COLUMN(AB7)-1,2)</f>
        <v xml:space="preserve">  </v>
      </c>
      <c r="AC7" s="4" t="str">
        <f>INDEX(ACTIVITYKEY!$A$11:$C$41,COLUMN(AC6)-1,1) &amp; "  " &amp; INDEX(ACTIVITYKEY!$A$11:$C$41,COLUMN(AC7)-1,2)</f>
        <v xml:space="preserve">  </v>
      </c>
      <c r="AD7" s="4" t="str">
        <f>INDEX(ACTIVITYKEY!$A$11:$C$41,COLUMN(AD6)-1,1) &amp; "  " &amp; INDEX(ACTIVITYKEY!$A$11:$C$41,COLUMN(AD7)-1,2)</f>
        <v xml:space="preserve">  </v>
      </c>
      <c r="AE7" s="4" t="str">
        <f>INDEX(ACTIVITYKEY!$A$11:$C$41,COLUMN(AE6)-1,1) &amp; "  " &amp; INDEX(ACTIVITYKEY!$A$11:$C$41,COLUMN(AE7)-1,2)</f>
        <v xml:space="preserve">  </v>
      </c>
      <c r="AF7" s="4" t="str">
        <f>INDEX(ACTIVITYKEY!$A$11:$C$41,COLUMN(AF6)-1,1) &amp; "  " &amp; INDEX(ACTIVITYKEY!$A$11:$C$41,COLUMN(AF7)-1,2)</f>
        <v xml:space="preserve">  </v>
      </c>
    </row>
    <row r="8" spans="1:32" x14ac:dyDescent="0.3">
      <c r="A8" s="5" t="s">
        <v>79</v>
      </c>
      <c r="B8" s="4">
        <f>COUNTA(B11:B310)</f>
        <v>0</v>
      </c>
      <c r="C8" s="4">
        <f t="shared" ref="C8:AE8" si="0">COUNTA(C11:C310)</f>
        <v>0</v>
      </c>
      <c r="D8" s="4">
        <f t="shared" si="0"/>
        <v>0</v>
      </c>
      <c r="E8" s="4">
        <f t="shared" si="0"/>
        <v>0</v>
      </c>
      <c r="F8" s="4">
        <f t="shared" si="0"/>
        <v>0</v>
      </c>
      <c r="G8" s="4">
        <f t="shared" si="0"/>
        <v>0</v>
      </c>
      <c r="H8" s="4">
        <f t="shared" si="0"/>
        <v>0</v>
      </c>
      <c r="I8" s="4">
        <f t="shared" si="0"/>
        <v>0</v>
      </c>
      <c r="J8" s="4">
        <f t="shared" si="0"/>
        <v>0</v>
      </c>
      <c r="K8" s="4">
        <f t="shared" si="0"/>
        <v>0</v>
      </c>
      <c r="L8" s="4">
        <f t="shared" si="0"/>
        <v>0</v>
      </c>
      <c r="M8" s="4">
        <f t="shared" si="0"/>
        <v>0</v>
      </c>
      <c r="N8" s="4">
        <f t="shared" si="0"/>
        <v>0</v>
      </c>
      <c r="O8" s="4">
        <f t="shared" si="0"/>
        <v>0</v>
      </c>
      <c r="P8" s="4">
        <f t="shared" si="0"/>
        <v>0</v>
      </c>
      <c r="Q8" s="4">
        <f t="shared" si="0"/>
        <v>0</v>
      </c>
      <c r="R8" s="4">
        <f t="shared" si="0"/>
        <v>0</v>
      </c>
      <c r="S8" s="4">
        <f t="shared" si="0"/>
        <v>0</v>
      </c>
      <c r="T8" s="4">
        <f t="shared" ref="T8" si="1">COUNTA(T11:T310)</f>
        <v>0</v>
      </c>
      <c r="U8" s="4">
        <f t="shared" si="0"/>
        <v>0</v>
      </c>
      <c r="V8" s="4">
        <f t="shared" si="0"/>
        <v>0</v>
      </c>
      <c r="W8" s="4">
        <f t="shared" si="0"/>
        <v>0</v>
      </c>
      <c r="X8" s="4">
        <f t="shared" si="0"/>
        <v>0</v>
      </c>
      <c r="Y8" s="4">
        <f t="shared" si="0"/>
        <v>0</v>
      </c>
      <c r="Z8" s="4">
        <f t="shared" si="0"/>
        <v>0</v>
      </c>
      <c r="AA8" s="4">
        <f t="shared" si="0"/>
        <v>0</v>
      </c>
      <c r="AB8" s="4">
        <f t="shared" si="0"/>
        <v>0</v>
      </c>
      <c r="AC8" s="4">
        <f t="shared" si="0"/>
        <v>0</v>
      </c>
      <c r="AD8" s="4">
        <f t="shared" si="0"/>
        <v>0</v>
      </c>
      <c r="AE8" s="4">
        <f t="shared" si="0"/>
        <v>0</v>
      </c>
      <c r="AF8" s="4">
        <f>COUNTA(AF11:AF310)</f>
        <v>0</v>
      </c>
    </row>
    <row r="9" spans="1:32" x14ac:dyDescent="0.3">
      <c r="A9" s="5" t="s">
        <v>78</v>
      </c>
      <c r="B9" s="4">
        <f>INDEX(ACTIVITYKEY!$A$11:$C$41,COLUMN(B9)-1,3)</f>
        <v>999</v>
      </c>
      <c r="C9" s="4">
        <f>INDEX(ACTIVITYKEY!$A$11:$C$41,COLUMN(C9)-1,3)</f>
        <v>30</v>
      </c>
      <c r="D9" s="4">
        <f>INDEX(ACTIVITYKEY!$A$11:$C$41,COLUMN(D9)-1,3)</f>
        <v>15</v>
      </c>
      <c r="E9" s="4">
        <f>INDEX(ACTIVITYKEY!$A$11:$C$41,COLUMN(E9)-1,3)</f>
        <v>20</v>
      </c>
      <c r="F9" s="4">
        <f>INDEX(ACTIVITYKEY!$A$11:$C$41,COLUMN(F9)-1,3)</f>
        <v>20</v>
      </c>
      <c r="G9" s="4">
        <f>INDEX(ACTIVITYKEY!$A$11:$C$41,COLUMN(G9)-1,3)</f>
        <v>50</v>
      </c>
      <c r="H9" s="4">
        <f>INDEX(ACTIVITYKEY!$A$11:$C$41,COLUMN(H9)-1,3)</f>
        <v>20</v>
      </c>
      <c r="I9" s="4">
        <f>INDEX(ACTIVITYKEY!$A$11:$C$41,COLUMN(I9)-1,3)</f>
        <v>10</v>
      </c>
      <c r="J9" s="4">
        <f>INDEX(ACTIVITYKEY!$A$11:$C$41,COLUMN(J9)-1,3)</f>
        <v>10</v>
      </c>
      <c r="K9" s="4">
        <f>INDEX(ACTIVITYKEY!$A$11:$C$41,COLUMN(K9)-1,3)</f>
        <v>20</v>
      </c>
      <c r="L9" s="4">
        <f>INDEX(ACTIVITYKEY!$A$11:$C$41,COLUMN(L9)-1,3)</f>
        <v>8</v>
      </c>
      <c r="M9" s="4">
        <f>INDEX(ACTIVITYKEY!$A$11:$C$41,COLUMN(M9)-1,3)</f>
        <v>8</v>
      </c>
      <c r="N9" s="4">
        <f>INDEX(ACTIVITYKEY!$A$11:$C$41,COLUMN(N9)-1,3)</f>
        <v>8</v>
      </c>
      <c r="O9" s="4">
        <f>INDEX(ACTIVITYKEY!$A$11:$C$41,COLUMN(O9)-1,3)</f>
        <v>8</v>
      </c>
      <c r="P9" s="4">
        <f>INDEX(ACTIVITYKEY!$A$11:$C$41,COLUMN(P9)-1,3)</f>
        <v>0</v>
      </c>
      <c r="Q9" s="4">
        <f>INDEX(ACTIVITYKEY!$A$11:$C$41,COLUMN(Q9)-1,3)</f>
        <v>0</v>
      </c>
      <c r="R9" s="4">
        <f>INDEX(ACTIVITYKEY!$A$11:$C$41,COLUMN(R9)-1,3)</f>
        <v>0</v>
      </c>
      <c r="S9" s="4">
        <f>INDEX(ACTIVITYKEY!$A$11:$C$41,COLUMN(S9)-1,3)</f>
        <v>0</v>
      </c>
      <c r="T9" s="4">
        <f>INDEX(ACTIVITYKEY!$A$11:$C$41,COLUMN(T9)-1,3)</f>
        <v>0</v>
      </c>
      <c r="U9" s="4">
        <f>INDEX(ACTIVITYKEY!$A$11:$C$41,COLUMN(U9)-1,3)</f>
        <v>0</v>
      </c>
      <c r="V9" s="4">
        <f>INDEX(ACTIVITYKEY!$A$11:$C$41,COLUMN(V9)-1,3)</f>
        <v>0</v>
      </c>
      <c r="W9" s="4">
        <f>INDEX(ACTIVITYKEY!$A$11:$C$41,COLUMN(W9)-1,3)</f>
        <v>0</v>
      </c>
      <c r="X9" s="4">
        <f>INDEX(ACTIVITYKEY!$A$11:$C$41,COLUMN(X9)-1,3)</f>
        <v>0</v>
      </c>
      <c r="Y9" s="4">
        <f>INDEX(ACTIVITYKEY!$A$11:$C$41,COLUMN(Y9)-1,3)</f>
        <v>0</v>
      </c>
      <c r="Z9" s="4">
        <f>INDEX(ACTIVITYKEY!$A$11:$C$41,COLUMN(Z9)-1,3)</f>
        <v>0</v>
      </c>
      <c r="AA9" s="4">
        <f>INDEX(ACTIVITYKEY!$A$11:$C$41,COLUMN(AA9)-1,3)</f>
        <v>0</v>
      </c>
      <c r="AB9" s="4">
        <f>INDEX(ACTIVITYKEY!$A$11:$C$41,COLUMN(AB9)-1,3)</f>
        <v>0</v>
      </c>
      <c r="AC9" s="4">
        <f>INDEX(ACTIVITYKEY!$A$11:$C$41,COLUMN(AC9)-1,3)</f>
        <v>0</v>
      </c>
      <c r="AD9" s="4">
        <f>INDEX(ACTIVITYKEY!$A$11:$C$41,COLUMN(AD9)-1,3)</f>
        <v>0</v>
      </c>
      <c r="AE9" s="4">
        <f>INDEX(ACTIVITYKEY!$A$11:$C$41,COLUMN(AE9)-1,3)</f>
        <v>0</v>
      </c>
      <c r="AF9" s="4">
        <f>INDEX(ACTIVITYKEY!$A$11:$C$41,COLUMN(AF9)-1,3)</f>
        <v>0</v>
      </c>
    </row>
    <row r="10" spans="1:32" x14ac:dyDescent="0.3">
      <c r="A10" s="6" t="s">
        <v>80</v>
      </c>
      <c r="B10" s="8">
        <f>B9-B8</f>
        <v>999</v>
      </c>
      <c r="C10" s="8">
        <f t="shared" ref="C10:AE10" si="2">C9-C8</f>
        <v>30</v>
      </c>
      <c r="D10" s="8">
        <f t="shared" si="2"/>
        <v>15</v>
      </c>
      <c r="E10" s="8">
        <f t="shared" si="2"/>
        <v>20</v>
      </c>
      <c r="F10" s="8">
        <f t="shared" si="2"/>
        <v>20</v>
      </c>
      <c r="G10" s="8">
        <f t="shared" si="2"/>
        <v>50</v>
      </c>
      <c r="H10" s="8">
        <f t="shared" si="2"/>
        <v>20</v>
      </c>
      <c r="I10" s="8">
        <f t="shared" si="2"/>
        <v>10</v>
      </c>
      <c r="J10" s="8">
        <f t="shared" si="2"/>
        <v>10</v>
      </c>
      <c r="K10" s="8">
        <f t="shared" si="2"/>
        <v>20</v>
      </c>
      <c r="L10" s="8">
        <f t="shared" si="2"/>
        <v>8</v>
      </c>
      <c r="M10" s="8">
        <f t="shared" si="2"/>
        <v>8</v>
      </c>
      <c r="N10" s="8">
        <f t="shared" si="2"/>
        <v>8</v>
      </c>
      <c r="O10" s="8">
        <f t="shared" si="2"/>
        <v>8</v>
      </c>
      <c r="P10" s="8">
        <f t="shared" si="2"/>
        <v>0</v>
      </c>
      <c r="Q10" s="8">
        <f t="shared" si="2"/>
        <v>0</v>
      </c>
      <c r="R10" s="8">
        <f t="shared" si="2"/>
        <v>0</v>
      </c>
      <c r="S10" s="8">
        <f t="shared" si="2"/>
        <v>0</v>
      </c>
      <c r="T10" s="8">
        <f t="shared" ref="T10" si="3">T9-T8</f>
        <v>0</v>
      </c>
      <c r="U10" s="8">
        <f t="shared" si="2"/>
        <v>0</v>
      </c>
      <c r="V10" s="8">
        <f t="shared" si="2"/>
        <v>0</v>
      </c>
      <c r="W10" s="8">
        <f t="shared" si="2"/>
        <v>0</v>
      </c>
      <c r="X10" s="8">
        <f t="shared" si="2"/>
        <v>0</v>
      </c>
      <c r="Y10" s="8">
        <f t="shared" si="2"/>
        <v>0</v>
      </c>
      <c r="Z10" s="8">
        <f t="shared" si="2"/>
        <v>0</v>
      </c>
      <c r="AA10" s="8">
        <f t="shared" si="2"/>
        <v>0</v>
      </c>
      <c r="AB10" s="8">
        <f t="shared" si="2"/>
        <v>0</v>
      </c>
      <c r="AC10" s="8">
        <f t="shared" si="2"/>
        <v>0</v>
      </c>
      <c r="AD10" s="8">
        <f t="shared" si="2"/>
        <v>0</v>
      </c>
      <c r="AE10" s="8">
        <f t="shared" si="2"/>
        <v>0</v>
      </c>
      <c r="AF10" s="8">
        <f>AF9-AF8</f>
        <v>0</v>
      </c>
    </row>
    <row r="11" spans="1:32" x14ac:dyDescent="0.3">
      <c r="A11" s="5">
        <v>1</v>
      </c>
    </row>
    <row r="12" spans="1:32" x14ac:dyDescent="0.3">
      <c r="A12" s="5">
        <v>2</v>
      </c>
    </row>
    <row r="13" spans="1:32" x14ac:dyDescent="0.3">
      <c r="A13" s="5">
        <v>3</v>
      </c>
    </row>
    <row r="14" spans="1:32" x14ac:dyDescent="0.3">
      <c r="A14" s="5">
        <v>4</v>
      </c>
    </row>
    <row r="15" spans="1:32" x14ac:dyDescent="0.3">
      <c r="A15" s="5">
        <v>5</v>
      </c>
    </row>
    <row r="16" spans="1:32" x14ac:dyDescent="0.3">
      <c r="A16" s="5">
        <v>6</v>
      </c>
    </row>
    <row r="17" spans="1:1" x14ac:dyDescent="0.3">
      <c r="A17" s="5">
        <v>7</v>
      </c>
    </row>
    <row r="18" spans="1:1" x14ac:dyDescent="0.3">
      <c r="A18" s="5">
        <v>8</v>
      </c>
    </row>
    <row r="19" spans="1:1" x14ac:dyDescent="0.3">
      <c r="A19" s="5">
        <v>9</v>
      </c>
    </row>
    <row r="20" spans="1:1" x14ac:dyDescent="0.3">
      <c r="A20" s="5">
        <v>10</v>
      </c>
    </row>
    <row r="21" spans="1:1" x14ac:dyDescent="0.3">
      <c r="A21" s="5">
        <v>11</v>
      </c>
    </row>
    <row r="22" spans="1:1" x14ac:dyDescent="0.3">
      <c r="A22" s="5">
        <v>12</v>
      </c>
    </row>
    <row r="23" spans="1:1" x14ac:dyDescent="0.3">
      <c r="A23" s="5">
        <v>13</v>
      </c>
    </row>
    <row r="24" spans="1:1" x14ac:dyDescent="0.3">
      <c r="A24" s="5">
        <v>14</v>
      </c>
    </row>
    <row r="25" spans="1:1" x14ac:dyDescent="0.3">
      <c r="A25" s="5">
        <v>15</v>
      </c>
    </row>
    <row r="26" spans="1:1" x14ac:dyDescent="0.3">
      <c r="A26" s="5">
        <v>16</v>
      </c>
    </row>
    <row r="27" spans="1:1" x14ac:dyDescent="0.3">
      <c r="A27" s="5">
        <v>17</v>
      </c>
    </row>
    <row r="28" spans="1:1" x14ac:dyDescent="0.3">
      <c r="A28" s="5">
        <v>18</v>
      </c>
    </row>
    <row r="29" spans="1:1" x14ac:dyDescent="0.3">
      <c r="A29" s="5">
        <v>19</v>
      </c>
    </row>
    <row r="30" spans="1:1" x14ac:dyDescent="0.3">
      <c r="A30" s="5">
        <v>20</v>
      </c>
    </row>
    <row r="31" spans="1:1" x14ac:dyDescent="0.3">
      <c r="A31" s="5">
        <v>21</v>
      </c>
    </row>
    <row r="32" spans="1:1" x14ac:dyDescent="0.3">
      <c r="A32" s="5">
        <v>22</v>
      </c>
    </row>
    <row r="33" spans="1:1" x14ac:dyDescent="0.3">
      <c r="A33" s="5">
        <v>23</v>
      </c>
    </row>
    <row r="34" spans="1:1" x14ac:dyDescent="0.3">
      <c r="A34" s="5">
        <v>24</v>
      </c>
    </row>
    <row r="35" spans="1:1" x14ac:dyDescent="0.3">
      <c r="A35" s="5">
        <v>25</v>
      </c>
    </row>
  </sheetData>
  <pageMargins left="0.5" right="0.5" top="0.5" bottom="0.5" header="0.3" footer="0.3"/>
  <pageSetup scale="90" fitToWidth="0" orientation="landscape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2895-DCB3-4674-93DB-B092EE371C17}">
  <sheetPr codeName="Sheet6"/>
  <dimension ref="A1"/>
  <sheetViews>
    <sheetView workbookViewId="0">
      <selection activeCell="F12" sqref="F12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8F5E0-68A3-4D17-B188-5E447DC25BB8}">
  <dimension ref="A1:X14"/>
  <sheetViews>
    <sheetView workbookViewId="0">
      <selection activeCell="A10" sqref="A10"/>
    </sheetView>
  </sheetViews>
  <sheetFormatPr defaultRowHeight="14.4" x14ac:dyDescent="0.3"/>
  <sheetData>
    <row r="1" spans="1:24" x14ac:dyDescent="0.3">
      <c r="A1" t="s">
        <v>299</v>
      </c>
    </row>
    <row r="2" spans="1:24" ht="28.8" x14ac:dyDescent="0.3">
      <c r="A2" s="16" t="s">
        <v>0</v>
      </c>
      <c r="B2" s="16" t="s">
        <v>1</v>
      </c>
      <c r="C2" s="16" t="s">
        <v>76</v>
      </c>
      <c r="D2" s="16" t="s">
        <v>2</v>
      </c>
      <c r="E2" s="16" t="s">
        <v>3</v>
      </c>
      <c r="F2" s="16" t="s">
        <v>16</v>
      </c>
      <c r="G2" s="16" t="s">
        <v>82</v>
      </c>
      <c r="H2" s="16" t="s">
        <v>81</v>
      </c>
      <c r="I2" s="16" t="s">
        <v>83</v>
      </c>
      <c r="J2" s="16" t="s">
        <v>84</v>
      </c>
      <c r="K2" s="16" t="s">
        <v>87</v>
      </c>
      <c r="L2" s="16" t="s">
        <v>88</v>
      </c>
      <c r="M2" s="16" t="s">
        <v>0</v>
      </c>
      <c r="N2" s="16" t="s">
        <v>1</v>
      </c>
      <c r="O2" s="16" t="s">
        <v>76</v>
      </c>
      <c r="P2" s="16" t="s">
        <v>2</v>
      </c>
      <c r="Q2" s="16" t="s">
        <v>3</v>
      </c>
      <c r="R2" s="16" t="s">
        <v>16</v>
      </c>
      <c r="S2" s="16" t="s">
        <v>82</v>
      </c>
      <c r="T2" s="16" t="s">
        <v>81</v>
      </c>
      <c r="U2" s="16" t="s">
        <v>83</v>
      </c>
      <c r="V2" s="16" t="s">
        <v>84</v>
      </c>
      <c r="W2" s="16" t="s">
        <v>87</v>
      </c>
      <c r="X2" s="16" t="s">
        <v>88</v>
      </c>
    </row>
    <row r="3" spans="1:24" x14ac:dyDescent="0.3">
      <c r="A3" s="4">
        <v>101</v>
      </c>
      <c r="B3" s="4">
        <f>IF(LOOKUP($A3, ALLCAMPERS!$A$11:$A$311, ALLCAMPERS!B$11:B$311) = 0, "", LOOKUP($A3, ALLCAMPERS!$A$11:$A$311, ALLCAMPERS!B$11:B$311))</f>
        <v>1</v>
      </c>
      <c r="C3" s="4">
        <f>IF(LOOKUP($A3, ALLCAMPERS!$A$11:$A$311, ALLCAMPERS!C$11:C$311) = 0, "", LOOKUP($A3, ALLCAMPERS!$A$11:$A$311, ALLCAMPERS!C$11:C$311))</f>
        <v>1</v>
      </c>
      <c r="D3" s="4" t="str">
        <f>IF(LOOKUP($A3, ALLCAMPERS!$A$11:$A$311, ALLCAMPERS!D$11:D$311) = 0, "", LOOKUP($A3, ALLCAMPERS!$A$11:$A$311, ALLCAMPERS!D$11:D$311))</f>
        <v>Celia</v>
      </c>
      <c r="E3" s="4" t="str">
        <f>IF(LOOKUP($A3, ALLCAMPERS!$A$11:$A$311, ALLCAMPERS!E$11:E$311) = 0, "", LOOKUP($A3, ALLCAMPERS!$A$11:$A$311, ALLCAMPERS!E$11:E$311))</f>
        <v>ABOUASSALI</v>
      </c>
      <c r="F3" s="4" t="str">
        <f>IF(LOOKUP($A3, ALLCAMPERS!$A$11:$A$311, ALLCAMPERS!F$11:F$311) = 0, "", LOOKUP($A3, ALLCAMPERS!$A$11:$A$311, ALLCAMPERS!F$11:F$311))</f>
        <v/>
      </c>
      <c r="G3" s="4">
        <f>IF(LOOKUP($A3, ALLCAMPERS!$A$11:$A$311, ALLCAMPERS!G$11:G$311) = 0, "", LOOKUP($A3, ALLCAMPERS!$A$11:$A$311, ALLCAMPERS!G$11:G$311))</f>
        <v>6</v>
      </c>
      <c r="H3" s="4">
        <f>IF(LOOKUP($A3, ALLCAMPERS!$A$11:$A$311, ALLCAMPERS!H$11:H$311) = 0, "", LOOKUP($A3, ALLCAMPERS!$A$11:$A$311, ALLCAMPERS!H$11:H$311))</f>
        <v>7</v>
      </c>
      <c r="I3" s="4">
        <f>IF(LOOKUP($A3, ALLCAMPERS!$A$11:$A$311, ALLCAMPERS!I$11:I$311) = 0, "", LOOKUP($A3, ALLCAMPERS!$A$11:$A$311, ALLCAMPERS!I$11:I$311))</f>
        <v>3</v>
      </c>
      <c r="J3" s="4">
        <f>IF(LOOKUP($A3, ALLCAMPERS!$A$11:$A$311, ALLCAMPERS!J$11:J$311) = 0, "", LOOKUP($A3, ALLCAMPERS!$A$11:$A$311, ALLCAMPERS!J$11:J$311))</f>
        <v>4</v>
      </c>
      <c r="K3" s="4" t="str">
        <f>IF(LOOKUP($A3, ALLCAMPERS!$A$11:$A$311, ALLCAMPERS!K$11:K$311) = 0, "", LOOKUP($A3, ALLCAMPERS!$A$11:$A$311, ALLCAMPERS!K$11:K$311))</f>
        <v/>
      </c>
      <c r="L3" s="4" t="str">
        <f>IF(LOOKUP($A3, ALLCAMPERS!$A$11:$A$311, ALLCAMPERS!L$11:L$311) = 0, "", LOOKUP($A3, ALLCAMPERS!$A$11:$A$311, ALLCAMPERS!L$11:L$311))</f>
        <v/>
      </c>
      <c r="M3" s="4">
        <f>A3+1000</f>
        <v>1101</v>
      </c>
      <c r="N3" s="4">
        <f>IF(LOOKUP($M3, ALLCAMPERS!$A$11:$A$311, ALLCAMPERS!B$11:B$311) = 0, "", LOOKUP($M3, ALLCAMPERS!$A$11:$A$311, ALLCAMPERS!B$11:B$311))</f>
        <v>11</v>
      </c>
      <c r="O3" s="4">
        <f>IF(LOOKUP($M3, ALLCAMPERS!$A$11:$A$311, ALLCAMPERS!C$11:C$311) = 0, "", LOOKUP($M3, ALLCAMPERS!$A$11:$A$311, ALLCAMPERS!C$11:C$311))</f>
        <v>1</v>
      </c>
      <c r="P3" s="4" t="str">
        <f>IF(LOOKUP($M3, ALLCAMPERS!$A$11:$A$311, ALLCAMPERS!D$11:D$311) = 0, "", LOOKUP($M3, ALLCAMPERS!$A$11:$A$311, ALLCAMPERS!D$11:D$311))</f>
        <v>Ibrahim</v>
      </c>
      <c r="Q3" s="4" t="str">
        <f>IF(LOOKUP($M3, ALLCAMPERS!$A$11:$A$311, ALLCAMPERS!E$11:E$311) = 0, "", LOOKUP($M3, ALLCAMPERS!$A$11:$A$311, ALLCAMPERS!E$11:E$311))</f>
        <v>ABBOUD</v>
      </c>
      <c r="R3" s="4" t="str">
        <f>IF(LOOKUP($M3, ALLCAMPERS!$A$11:$A$311, ALLCAMPERS!F$11:F$311) = 0, "", LOOKUP($M3, ALLCAMPERS!$A$11:$A$311, ALLCAMPERS!F$11:F$311))</f>
        <v/>
      </c>
      <c r="S3" s="4">
        <f>IF(LOOKUP($M3, ALLCAMPERS!$A$11:$A$311, ALLCAMPERS!G$11:G$311) = 0, "", LOOKUP($M3, ALLCAMPERS!$A$11:$A$311, ALLCAMPERS!G$11:G$311))</f>
        <v>2</v>
      </c>
      <c r="T3" s="4">
        <f>IF(LOOKUP($M3, ALLCAMPERS!$A$11:$A$311, ALLCAMPERS!H$11:H$311) = 0, "", LOOKUP($M3, ALLCAMPERS!$A$11:$A$311, ALLCAMPERS!H$11:H$311))</f>
        <v>2</v>
      </c>
      <c r="U3" s="4">
        <f>IF(LOOKUP($M3, ALLCAMPERS!$A$11:$A$311, ALLCAMPERS!I$11:I$311) = 0, "", LOOKUP($M3, ALLCAMPERS!$A$11:$A$311, ALLCAMPERS!I$11:I$311))</f>
        <v>7</v>
      </c>
      <c r="V3" s="4">
        <f>IF(LOOKUP($M3, ALLCAMPERS!$A$11:$A$311, ALLCAMPERS!J$11:J$311) = 0, "", LOOKUP($M3, ALLCAMPERS!$A$11:$A$311, ALLCAMPERS!J$11:J$311))</f>
        <v>6</v>
      </c>
      <c r="W3" s="4" t="str">
        <f>IF(LOOKUP($M3, ALLCAMPERS!$A$11:$A$311, ALLCAMPERS!K$11:K$311) = 0, "", LOOKUP($M3, ALLCAMPERS!$A$11:$A$311, ALLCAMPERS!K$11:K$311))</f>
        <v/>
      </c>
      <c r="X3" s="4" t="str">
        <f>IF(LOOKUP($M3, ALLCAMPERS!$A$11:$A$311, ALLCAMPERS!L$11:L$311) = 0, "", LOOKUP($M3, ALLCAMPERS!$A$11:$A$311, ALLCAMPERS!L$11:L$311))</f>
        <v/>
      </c>
    </row>
    <row r="4" spans="1:24" x14ac:dyDescent="0.3">
      <c r="A4" s="4">
        <f>A3+1</f>
        <v>102</v>
      </c>
      <c r="B4" s="4">
        <f>IF(LOOKUP($A4, ALLCAMPERS!$A$11:$A$311, ALLCAMPERS!B$11:B$311) = 0, "", LOOKUP($A4, ALLCAMPERS!$A$11:$A$311, ALLCAMPERS!B$11:B$311))</f>
        <v>1</v>
      </c>
      <c r="C4" s="4">
        <f>IF(LOOKUP($A4, ALLCAMPERS!$A$11:$A$311, ALLCAMPERS!C$11:C$311) = 0, "", LOOKUP($A4, ALLCAMPERS!$A$11:$A$311, ALLCAMPERS!C$11:C$311))</f>
        <v>2</v>
      </c>
      <c r="D4" s="4" t="str">
        <f>IF(LOOKUP($A4, ALLCAMPERS!$A$11:$A$311, ALLCAMPERS!D$11:D$311) = 0, "", LOOKUP($A4, ALLCAMPERS!$A$11:$A$311, ALLCAMPERS!D$11:D$311))</f>
        <v>Diana</v>
      </c>
      <c r="E4" s="4" t="str">
        <f>IF(LOOKUP($A4, ALLCAMPERS!$A$11:$A$311, ALLCAMPERS!E$11:E$311) = 0, "", LOOKUP($A4, ALLCAMPERS!$A$11:$A$311, ALLCAMPERS!E$11:E$311))</f>
        <v>ZYUZIN</v>
      </c>
      <c r="F4" s="4" t="str">
        <f>IF(LOOKUP($A4, ALLCAMPERS!$A$11:$A$311, ALLCAMPERS!F$11:F$311) = 0, "", LOOKUP($A4, ALLCAMPERS!$A$11:$A$311, ALLCAMPERS!F$11:F$311))</f>
        <v/>
      </c>
      <c r="G4" s="4">
        <f>IF(LOOKUP($A4, ALLCAMPERS!$A$11:$A$311, ALLCAMPERS!G$11:G$311) = 0, "", LOOKUP($A4, ALLCAMPERS!$A$11:$A$311, ALLCAMPERS!G$11:G$311))</f>
        <v>6</v>
      </c>
      <c r="H4" s="4">
        <f>IF(LOOKUP($A4, ALLCAMPERS!$A$11:$A$311, ALLCAMPERS!H$11:H$311) = 0, "", LOOKUP($A4, ALLCAMPERS!$A$11:$A$311, ALLCAMPERS!H$11:H$311))</f>
        <v>6</v>
      </c>
      <c r="I4" s="4">
        <f>IF(LOOKUP($A4, ALLCAMPERS!$A$11:$A$311, ALLCAMPERS!I$11:I$311) = 0, "", LOOKUP($A4, ALLCAMPERS!$A$11:$A$311, ALLCAMPERS!I$11:I$311))</f>
        <v>5</v>
      </c>
      <c r="J4" s="4">
        <f>IF(LOOKUP($A4, ALLCAMPERS!$A$11:$A$311, ALLCAMPERS!J$11:J$311) = 0, "", LOOKUP($A4, ALLCAMPERS!$A$11:$A$311, ALLCAMPERS!J$11:J$311))</f>
        <v>3</v>
      </c>
      <c r="K4" s="4" t="str">
        <f>IF(LOOKUP($A4, ALLCAMPERS!$A$11:$A$311, ALLCAMPERS!K$11:K$311) = 0, "", LOOKUP($A4, ALLCAMPERS!$A$11:$A$311, ALLCAMPERS!K$11:K$311))</f>
        <v/>
      </c>
      <c r="L4" s="4" t="str">
        <f>IF(LOOKUP($A4, ALLCAMPERS!$A$11:$A$311, ALLCAMPERS!L$11:L$311) = 0, "", LOOKUP($A4, ALLCAMPERS!$A$11:$A$311, ALLCAMPERS!L$11:L$311))</f>
        <v/>
      </c>
      <c r="M4" s="4">
        <f>M3+1</f>
        <v>1102</v>
      </c>
      <c r="N4" s="4">
        <f>IF(LOOKUP($M4, ALLCAMPERS!$A$11:$A$311, ALLCAMPERS!B$11:B$311) = 0, "", LOOKUP($M4, ALLCAMPERS!$A$11:$A$311, ALLCAMPERS!B$11:B$311))</f>
        <v>11</v>
      </c>
      <c r="O4" s="4">
        <f>IF(LOOKUP($M4, ALLCAMPERS!$A$11:$A$311, ALLCAMPERS!C$11:C$311) = 0, "", LOOKUP($M4, ALLCAMPERS!$A$11:$A$311, ALLCAMPERS!C$11:C$311))</f>
        <v>2</v>
      </c>
      <c r="P4" s="4" t="str">
        <f>IF(LOOKUP($M4, ALLCAMPERS!$A$11:$A$311, ALLCAMPERS!D$11:D$311) = 0, "", LOOKUP($M4, ALLCAMPERS!$A$11:$A$311, ALLCAMPERS!D$11:D$311))</f>
        <v>George</v>
      </c>
      <c r="Q4" s="4" t="str">
        <f>IF(LOOKUP($M4, ALLCAMPERS!$A$11:$A$311, ALLCAMPERS!E$11:E$311) = 0, "", LOOKUP($M4, ALLCAMPERS!$A$11:$A$311, ALLCAMPERS!E$11:E$311))</f>
        <v>IBRAHIM</v>
      </c>
      <c r="R4" s="4" t="str">
        <f>IF(LOOKUP($M4, ALLCAMPERS!$A$11:$A$311, ALLCAMPERS!F$11:F$311) = 0, "", LOOKUP($M4, ALLCAMPERS!$A$11:$A$311, ALLCAMPERS!F$11:F$311))</f>
        <v/>
      </c>
      <c r="S4" s="4">
        <f>IF(LOOKUP($M4, ALLCAMPERS!$A$11:$A$311, ALLCAMPERS!G$11:G$311) = 0, "", LOOKUP($M4, ALLCAMPERS!$A$11:$A$311, ALLCAMPERS!G$11:G$311))</f>
        <v>7</v>
      </c>
      <c r="T4" s="4">
        <f>IF(LOOKUP($M4, ALLCAMPERS!$A$11:$A$311, ALLCAMPERS!H$11:H$311) = 0, "", LOOKUP($M4, ALLCAMPERS!$A$11:$A$311, ALLCAMPERS!H$11:H$311))</f>
        <v>2</v>
      </c>
      <c r="U4" s="4">
        <f>IF(LOOKUP($M4, ALLCAMPERS!$A$11:$A$311, ALLCAMPERS!I$11:I$311) = 0, "", LOOKUP($M4, ALLCAMPERS!$A$11:$A$311, ALLCAMPERS!I$11:I$311))</f>
        <v>5</v>
      </c>
      <c r="V4" s="4">
        <f>IF(LOOKUP($M4, ALLCAMPERS!$A$11:$A$311, ALLCAMPERS!J$11:J$311) = 0, "", LOOKUP($M4, ALLCAMPERS!$A$11:$A$311, ALLCAMPERS!J$11:J$311))</f>
        <v>3</v>
      </c>
      <c r="W4" s="4" t="str">
        <f>IF(LOOKUP($M4, ALLCAMPERS!$A$11:$A$311, ALLCAMPERS!K$11:K$311) = 0, "", LOOKUP($M4, ALLCAMPERS!$A$11:$A$311, ALLCAMPERS!K$11:K$311))</f>
        <v/>
      </c>
      <c r="X4" s="4" t="str">
        <f>IF(LOOKUP($M4, ALLCAMPERS!$A$11:$A$311, ALLCAMPERS!L$11:L$311) = 0, "", LOOKUP($M4, ALLCAMPERS!$A$11:$A$311, ALLCAMPERS!L$11:L$311))</f>
        <v/>
      </c>
    </row>
    <row r="5" spans="1:24" x14ac:dyDescent="0.3">
      <c r="A5" s="4">
        <f t="shared" ref="A5:A6" si="0">A4+1</f>
        <v>103</v>
      </c>
      <c r="B5" s="4">
        <f>IF(LOOKUP($A5, ALLCAMPERS!$A$11:$A$311, ALLCAMPERS!B$11:B$311) = 0, "", LOOKUP($A5, ALLCAMPERS!$A$11:$A$311, ALLCAMPERS!B$11:B$311))</f>
        <v>1</v>
      </c>
      <c r="C5" s="4">
        <f>IF(LOOKUP($A5, ALLCAMPERS!$A$11:$A$311, ALLCAMPERS!C$11:C$311) = 0, "", LOOKUP($A5, ALLCAMPERS!$A$11:$A$311, ALLCAMPERS!C$11:C$311))</f>
        <v>3</v>
      </c>
      <c r="D5" s="4" t="str">
        <f>IF(LOOKUP($A5, ALLCAMPERS!$A$11:$A$311, ALLCAMPERS!D$11:D$311) = 0, "", LOOKUP($A5, ALLCAMPERS!$A$11:$A$311, ALLCAMPERS!D$11:D$311))</f>
        <v>Laia</v>
      </c>
      <c r="E5" s="4" t="str">
        <f>IF(LOOKUP($A5, ALLCAMPERS!$A$11:$A$311, ALLCAMPERS!E$11:E$311) = 0, "", LOOKUP($A5, ALLCAMPERS!$A$11:$A$311, ALLCAMPERS!E$11:E$311))</f>
        <v>SAYEGH</v>
      </c>
      <c r="F5" s="4" t="str">
        <f>IF(LOOKUP($A5, ALLCAMPERS!$A$11:$A$311, ALLCAMPERS!F$11:F$311) = 0, "", LOOKUP($A5, ALLCAMPERS!$A$11:$A$311, ALLCAMPERS!F$11:F$311))</f>
        <v/>
      </c>
      <c r="G5" s="4">
        <f>IF(LOOKUP($A5, ALLCAMPERS!$A$11:$A$311, ALLCAMPERS!G$11:G$311) = 0, "", LOOKUP($A5, ALLCAMPERS!$A$11:$A$311, ALLCAMPERS!G$11:G$311))</f>
        <v>3</v>
      </c>
      <c r="H5" s="4">
        <f>IF(LOOKUP($A5, ALLCAMPERS!$A$11:$A$311, ALLCAMPERS!H$11:H$311) = 0, "", LOOKUP($A5, ALLCAMPERS!$A$11:$A$311, ALLCAMPERS!H$11:H$311))</f>
        <v>6</v>
      </c>
      <c r="I5" s="4">
        <f>IF(LOOKUP($A5, ALLCAMPERS!$A$11:$A$311, ALLCAMPERS!I$11:I$311) = 0, "", LOOKUP($A5, ALLCAMPERS!$A$11:$A$311, ALLCAMPERS!I$11:I$311))</f>
        <v>6</v>
      </c>
      <c r="J5" s="4">
        <f>IF(LOOKUP($A5, ALLCAMPERS!$A$11:$A$311, ALLCAMPERS!J$11:J$311) = 0, "", LOOKUP($A5, ALLCAMPERS!$A$11:$A$311, ALLCAMPERS!J$11:J$311))</f>
        <v>4</v>
      </c>
      <c r="K5" s="4" t="str">
        <f>IF(LOOKUP($A5, ALLCAMPERS!$A$11:$A$311, ALLCAMPERS!K$11:K$311) = 0, "", LOOKUP($A5, ALLCAMPERS!$A$11:$A$311, ALLCAMPERS!K$11:K$311))</f>
        <v/>
      </c>
      <c r="L5" s="4" t="str">
        <f>IF(LOOKUP($A5, ALLCAMPERS!$A$11:$A$311, ALLCAMPERS!L$11:L$311) = 0, "", LOOKUP($A5, ALLCAMPERS!$A$11:$A$311, ALLCAMPERS!L$11:L$311))</f>
        <v/>
      </c>
      <c r="M5" s="4">
        <f t="shared" ref="M5:M6" si="1">M4+1</f>
        <v>1103</v>
      </c>
      <c r="N5" s="4">
        <f>IF(LOOKUP($M5, ALLCAMPERS!$A$11:$A$311, ALLCAMPERS!B$11:B$311) = 0, "", LOOKUP($M5, ALLCAMPERS!$A$11:$A$311, ALLCAMPERS!B$11:B$311))</f>
        <v>11</v>
      </c>
      <c r="O5" s="4">
        <f>IF(LOOKUP($M5, ALLCAMPERS!$A$11:$A$311, ALLCAMPERS!C$11:C$311) = 0, "", LOOKUP($M5, ALLCAMPERS!$A$11:$A$311, ALLCAMPERS!C$11:C$311))</f>
        <v>3</v>
      </c>
      <c r="P5" s="4" t="str">
        <f>IF(LOOKUP($M5, ALLCAMPERS!$A$11:$A$311, ALLCAMPERS!D$11:D$311) = 0, "", LOOKUP($M5, ALLCAMPERS!$A$11:$A$311, ALLCAMPERS!D$11:D$311))</f>
        <v>Ebrahim</v>
      </c>
      <c r="Q5" s="4" t="str">
        <f>IF(LOOKUP($M5, ALLCAMPERS!$A$11:$A$311, ALLCAMPERS!E$11:E$311) = 0, "", LOOKUP($M5, ALLCAMPERS!$A$11:$A$311, ALLCAMPERS!E$11:E$311))</f>
        <v>BARAM</v>
      </c>
      <c r="R5" s="4" t="str">
        <f>IF(LOOKUP($M5, ALLCAMPERS!$A$11:$A$311, ALLCAMPERS!F$11:F$311) = 0, "", LOOKUP($M5, ALLCAMPERS!$A$11:$A$311, ALLCAMPERS!F$11:F$311))</f>
        <v/>
      </c>
      <c r="S5" s="4">
        <f>IF(LOOKUP($M5, ALLCAMPERS!$A$11:$A$311, ALLCAMPERS!G$11:G$311) = 0, "", LOOKUP($M5, ALLCAMPERS!$A$11:$A$311, ALLCAMPERS!G$11:G$311))</f>
        <v>1</v>
      </c>
      <c r="T5" s="4">
        <f>IF(LOOKUP($M5, ALLCAMPERS!$A$11:$A$311, ALLCAMPERS!H$11:H$311) = 0, "", LOOKUP($M5, ALLCAMPERS!$A$11:$A$311, ALLCAMPERS!H$11:H$311))</f>
        <v>4</v>
      </c>
      <c r="U5" s="4">
        <f>IF(LOOKUP($M5, ALLCAMPERS!$A$11:$A$311, ALLCAMPERS!I$11:I$311) = 0, "", LOOKUP($M5, ALLCAMPERS!$A$11:$A$311, ALLCAMPERS!I$11:I$311))</f>
        <v>2</v>
      </c>
      <c r="V5" s="4">
        <f>IF(LOOKUP($M5, ALLCAMPERS!$A$11:$A$311, ALLCAMPERS!J$11:J$311) = 0, "", LOOKUP($M5, ALLCAMPERS!$A$11:$A$311, ALLCAMPERS!J$11:J$311))</f>
        <v>7</v>
      </c>
      <c r="W5" s="4" t="str">
        <f>IF(LOOKUP($M5, ALLCAMPERS!$A$11:$A$311, ALLCAMPERS!K$11:K$311) = 0, "", LOOKUP($M5, ALLCAMPERS!$A$11:$A$311, ALLCAMPERS!K$11:K$311))</f>
        <v/>
      </c>
      <c r="X5" s="4" t="str">
        <f>IF(LOOKUP($M5, ALLCAMPERS!$A$11:$A$311, ALLCAMPERS!L$11:L$311) = 0, "", LOOKUP($M5, ALLCAMPERS!$A$11:$A$311, ALLCAMPERS!L$11:L$311))</f>
        <v/>
      </c>
    </row>
    <row r="6" spans="1:24" x14ac:dyDescent="0.3">
      <c r="A6" s="4">
        <f t="shared" si="0"/>
        <v>104</v>
      </c>
      <c r="B6" s="4">
        <f>IF(LOOKUP($A6, ALLCAMPERS!$A$11:$A$311, ALLCAMPERS!B$11:B$311) = 0, "", LOOKUP($A6, ALLCAMPERS!$A$11:$A$311, ALLCAMPERS!B$11:B$311))</f>
        <v>1</v>
      </c>
      <c r="C6" s="4">
        <f>IF(LOOKUP($A6, ALLCAMPERS!$A$11:$A$311, ALLCAMPERS!C$11:C$311) = 0, "", LOOKUP($A6, ALLCAMPERS!$A$11:$A$311, ALLCAMPERS!C$11:C$311))</f>
        <v>4</v>
      </c>
      <c r="D6" s="4" t="str">
        <f>IF(LOOKUP($A6, ALLCAMPERS!$A$11:$A$311, ALLCAMPERS!D$11:D$311) = 0, "", LOOKUP($A6, ALLCAMPERS!$A$11:$A$311, ALLCAMPERS!D$11:D$311))</f>
        <v>Nadine</v>
      </c>
      <c r="E6" s="4" t="str">
        <f>IF(LOOKUP($A6, ALLCAMPERS!$A$11:$A$311, ALLCAMPERS!E$11:E$311) = 0, "", LOOKUP($A6, ALLCAMPERS!$A$11:$A$311, ALLCAMPERS!E$11:E$311))</f>
        <v>DABABNEH</v>
      </c>
      <c r="F6" s="4" t="str">
        <f>IF(LOOKUP($A6, ALLCAMPERS!$A$11:$A$311, ALLCAMPERS!F$11:F$311) = 0, "", LOOKUP($A6, ALLCAMPERS!$A$11:$A$311, ALLCAMPERS!F$11:F$311))</f>
        <v/>
      </c>
      <c r="G6" s="4">
        <f>IF(LOOKUP($A6, ALLCAMPERS!$A$11:$A$311, ALLCAMPERS!G$11:G$311) = 0, "", LOOKUP($A6, ALLCAMPERS!$A$11:$A$311, ALLCAMPERS!G$11:G$311))</f>
        <v>4</v>
      </c>
      <c r="H6" s="4">
        <f>IF(LOOKUP($A6, ALLCAMPERS!$A$11:$A$311, ALLCAMPERS!H$11:H$311) = 0, "", LOOKUP($A6, ALLCAMPERS!$A$11:$A$311, ALLCAMPERS!H$11:H$311))</f>
        <v>1</v>
      </c>
      <c r="I6" s="4">
        <f>IF(LOOKUP($A6, ALLCAMPERS!$A$11:$A$311, ALLCAMPERS!I$11:I$311) = 0, "", LOOKUP($A6, ALLCAMPERS!$A$11:$A$311, ALLCAMPERS!I$11:I$311))</f>
        <v>7</v>
      </c>
      <c r="J6" s="4">
        <f>IF(LOOKUP($A6, ALLCAMPERS!$A$11:$A$311, ALLCAMPERS!J$11:J$311) = 0, "", LOOKUP($A6, ALLCAMPERS!$A$11:$A$311, ALLCAMPERS!J$11:J$311))</f>
        <v>6</v>
      </c>
      <c r="K6" s="4" t="str">
        <f>IF(LOOKUP($A6, ALLCAMPERS!$A$11:$A$311, ALLCAMPERS!K$11:K$311) = 0, "", LOOKUP($A6, ALLCAMPERS!$A$11:$A$311, ALLCAMPERS!K$11:K$311))</f>
        <v/>
      </c>
      <c r="L6" s="4" t="str">
        <f>IF(LOOKUP($A6, ALLCAMPERS!$A$11:$A$311, ALLCAMPERS!L$11:L$311) = 0, "", LOOKUP($A6, ALLCAMPERS!$A$11:$A$311, ALLCAMPERS!L$11:L$311))</f>
        <v/>
      </c>
      <c r="M6" s="4">
        <f t="shared" si="1"/>
        <v>1104</v>
      </c>
      <c r="N6" s="4">
        <f>IF(LOOKUP($M6, ALLCAMPERS!$A$11:$A$311, ALLCAMPERS!B$11:B$311) = 0, "", LOOKUP($M6, ALLCAMPERS!$A$11:$A$311, ALLCAMPERS!B$11:B$311))</f>
        <v>11</v>
      </c>
      <c r="O6" s="4">
        <f>IF(LOOKUP($M6, ALLCAMPERS!$A$11:$A$311, ALLCAMPERS!C$11:C$311) = 0, "", LOOKUP($M6, ALLCAMPERS!$A$11:$A$311, ALLCAMPERS!C$11:C$311))</f>
        <v>4</v>
      </c>
      <c r="P6" s="4" t="str">
        <f>IF(LOOKUP($M6, ALLCAMPERS!$A$11:$A$311, ALLCAMPERS!D$11:D$311) = 0, "", LOOKUP($M6, ALLCAMPERS!$A$11:$A$311, ALLCAMPERS!D$11:D$311))</f>
        <v>Andre</v>
      </c>
      <c r="Q6" s="4" t="str">
        <f>IF(LOOKUP($M6, ALLCAMPERS!$A$11:$A$311, ALLCAMPERS!E$11:E$311) = 0, "", LOOKUP($M6, ALLCAMPERS!$A$11:$A$311, ALLCAMPERS!E$11:E$311))</f>
        <v>HAZIM</v>
      </c>
      <c r="R6" s="4" t="str">
        <f>IF(LOOKUP($M6, ALLCAMPERS!$A$11:$A$311, ALLCAMPERS!F$11:F$311) = 0, "", LOOKUP($M6, ALLCAMPERS!$A$11:$A$311, ALLCAMPERS!F$11:F$311))</f>
        <v/>
      </c>
      <c r="S6" s="4">
        <f>IF(LOOKUP($M6, ALLCAMPERS!$A$11:$A$311, ALLCAMPERS!G$11:G$311) = 0, "", LOOKUP($M6, ALLCAMPERS!$A$11:$A$311, ALLCAMPERS!G$11:G$311))</f>
        <v>1</v>
      </c>
      <c r="T6" s="4">
        <f>IF(LOOKUP($M6, ALLCAMPERS!$A$11:$A$311, ALLCAMPERS!H$11:H$311) = 0, "", LOOKUP($M6, ALLCAMPERS!$A$11:$A$311, ALLCAMPERS!H$11:H$311))</f>
        <v>6</v>
      </c>
      <c r="U6" s="4">
        <f>IF(LOOKUP($M6, ALLCAMPERS!$A$11:$A$311, ALLCAMPERS!I$11:I$311) = 0, "", LOOKUP($M6, ALLCAMPERS!$A$11:$A$311, ALLCAMPERS!I$11:I$311))</f>
        <v>4</v>
      </c>
      <c r="V6" s="4">
        <f>IF(LOOKUP($M6, ALLCAMPERS!$A$11:$A$311, ALLCAMPERS!J$11:J$311) = 0, "", LOOKUP($M6, ALLCAMPERS!$A$11:$A$311, ALLCAMPERS!J$11:J$311))</f>
        <v>2</v>
      </c>
      <c r="W6" s="4" t="str">
        <f>IF(LOOKUP($M6, ALLCAMPERS!$A$11:$A$311, ALLCAMPERS!K$11:K$311) = 0, "", LOOKUP($M6, ALLCAMPERS!$A$11:$A$311, ALLCAMPERS!K$11:K$311))</f>
        <v/>
      </c>
      <c r="X6" s="4" t="str">
        <f>IF(LOOKUP($M6, ALLCAMPERS!$A$11:$A$311, ALLCAMPERS!L$11:L$311) = 0, "", LOOKUP($M6, ALLCAMPERS!$A$11:$A$311, ALLCAMPERS!L$11:L$311))</f>
        <v/>
      </c>
    </row>
    <row r="9" spans="1:24" x14ac:dyDescent="0.3">
      <c r="A9" t="s">
        <v>300</v>
      </c>
      <c r="F9" t="s">
        <v>6</v>
      </c>
      <c r="G9">
        <v>1</v>
      </c>
      <c r="I9">
        <v>2</v>
      </c>
      <c r="K9" t="s">
        <v>106</v>
      </c>
      <c r="L9" t="s">
        <v>107</v>
      </c>
    </row>
    <row r="10" spans="1:24" x14ac:dyDescent="0.3">
      <c r="A10" s="4" t="str">
        <f>COUNTA(E11:E14) &amp; " Campers Total"</f>
        <v>4 Campers Total</v>
      </c>
      <c r="B10" s="1"/>
      <c r="C10" s="1"/>
      <c r="D10" s="1"/>
      <c r="E10" s="1"/>
      <c r="F10" s="1" t="s">
        <v>5</v>
      </c>
      <c r="G10" s="1">
        <v>1</v>
      </c>
      <c r="H10" s="1">
        <v>2</v>
      </c>
      <c r="I10" s="1">
        <v>1</v>
      </c>
      <c r="J10" s="1">
        <v>2</v>
      </c>
      <c r="K10" s="1"/>
      <c r="L10" s="1"/>
    </row>
    <row r="11" spans="1:24" x14ac:dyDescent="0.3">
      <c r="A11" s="1" t="s">
        <v>0</v>
      </c>
      <c r="B11" s="1" t="s">
        <v>1</v>
      </c>
      <c r="C11" s="1" t="s">
        <v>76</v>
      </c>
      <c r="D11" s="1" t="s">
        <v>2</v>
      </c>
      <c r="E11" s="1" t="s">
        <v>3</v>
      </c>
      <c r="F11" s="1" t="s">
        <v>16</v>
      </c>
      <c r="G11" s="1" t="s">
        <v>82</v>
      </c>
      <c r="H11" s="1" t="s">
        <v>81</v>
      </c>
      <c r="I11" s="1" t="s">
        <v>83</v>
      </c>
      <c r="J11" s="1" t="s">
        <v>84</v>
      </c>
      <c r="K11" s="1" t="s">
        <v>87</v>
      </c>
      <c r="L11" s="1" t="s">
        <v>88</v>
      </c>
    </row>
    <row r="12" spans="1:24" x14ac:dyDescent="0.3">
      <c r="A12">
        <f>B12*100 +C12</f>
        <v>101</v>
      </c>
      <c r="B12">
        <v>1</v>
      </c>
      <c r="C12">
        <f>IF(B12=B11,C11+1,1)</f>
        <v>1</v>
      </c>
      <c r="D12" t="s">
        <v>260</v>
      </c>
      <c r="E12" t="s">
        <v>261</v>
      </c>
      <c r="F12">
        <v>601</v>
      </c>
      <c r="G12">
        <v>1</v>
      </c>
      <c r="H12">
        <v>8</v>
      </c>
      <c r="I12">
        <v>4</v>
      </c>
      <c r="J12">
        <v>8</v>
      </c>
      <c r="K12" t="s">
        <v>256</v>
      </c>
      <c r="L12" t="s">
        <v>258</v>
      </c>
    </row>
    <row r="13" spans="1:24" x14ac:dyDescent="0.3">
      <c r="A13">
        <f>B13*100 +C13</f>
        <v>1101</v>
      </c>
      <c r="B13">
        <v>11</v>
      </c>
      <c r="C13">
        <f>IF(B13=B12,C12+1,1)</f>
        <v>1</v>
      </c>
      <c r="D13" t="s">
        <v>262</v>
      </c>
      <c r="E13" t="s">
        <v>261</v>
      </c>
      <c r="F13">
        <v>602</v>
      </c>
      <c r="G13">
        <v>4</v>
      </c>
      <c r="H13">
        <v>2</v>
      </c>
      <c r="I13">
        <v>1</v>
      </c>
      <c r="J13">
        <v>8</v>
      </c>
      <c r="K13" t="s">
        <v>258</v>
      </c>
      <c r="L13" t="s">
        <v>256</v>
      </c>
    </row>
    <row r="14" spans="1:24" x14ac:dyDescent="0.3">
      <c r="A14">
        <f>B14*100 +C14</f>
        <v>1201</v>
      </c>
      <c r="B14">
        <v>12</v>
      </c>
      <c r="C14">
        <f>IF(B14=B13,C13+1,1)</f>
        <v>1</v>
      </c>
      <c r="D14" t="s">
        <v>262</v>
      </c>
      <c r="E14" t="s">
        <v>263</v>
      </c>
      <c r="F14">
        <v>603</v>
      </c>
      <c r="G14">
        <v>7</v>
      </c>
      <c r="H14">
        <v>1</v>
      </c>
      <c r="I14">
        <v>5</v>
      </c>
      <c r="J14">
        <v>1</v>
      </c>
      <c r="K14" t="s">
        <v>259</v>
      </c>
      <c r="L14" t="s">
        <v>257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EF6E-E379-4F31-AFBD-88FF3318DE09}">
  <sheetPr codeName="Sheet4"/>
  <dimension ref="A1:G122"/>
  <sheetViews>
    <sheetView zoomScale="70" zoomScaleNormal="70" workbookViewId="0"/>
  </sheetViews>
  <sheetFormatPr defaultRowHeight="14.4" x14ac:dyDescent="0.3"/>
  <sheetData>
    <row r="1" spans="1:4" x14ac:dyDescent="0.3">
      <c r="A1">
        <v>1</v>
      </c>
      <c r="C1" t="s">
        <v>42</v>
      </c>
      <c r="D1" t="s">
        <v>119</v>
      </c>
    </row>
    <row r="2" spans="1:4" x14ac:dyDescent="0.3">
      <c r="A2">
        <v>1</v>
      </c>
      <c r="C2" t="s">
        <v>121</v>
      </c>
      <c r="D2" t="s">
        <v>120</v>
      </c>
    </row>
    <row r="3" spans="1:4" x14ac:dyDescent="0.3">
      <c r="A3">
        <v>1</v>
      </c>
      <c r="C3" t="s">
        <v>41</v>
      </c>
      <c r="D3" t="s">
        <v>122</v>
      </c>
    </row>
    <row r="4" spans="1:4" x14ac:dyDescent="0.3">
      <c r="A4">
        <v>1</v>
      </c>
      <c r="C4" t="s">
        <v>27</v>
      </c>
      <c r="D4" t="s">
        <v>123</v>
      </c>
    </row>
    <row r="5" spans="1:4" x14ac:dyDescent="0.3">
      <c r="A5">
        <v>1</v>
      </c>
      <c r="C5" t="s">
        <v>40</v>
      </c>
      <c r="D5" t="s">
        <v>124</v>
      </c>
    </row>
    <row r="6" spans="1:4" x14ac:dyDescent="0.3">
      <c r="A6">
        <v>2</v>
      </c>
      <c r="C6" t="s">
        <v>33</v>
      </c>
      <c r="D6" t="s">
        <v>125</v>
      </c>
    </row>
    <row r="7" spans="1:4" x14ac:dyDescent="0.3">
      <c r="A7">
        <v>2</v>
      </c>
      <c r="C7" t="s">
        <v>66</v>
      </c>
      <c r="D7" t="s">
        <v>126</v>
      </c>
    </row>
    <row r="8" spans="1:4" x14ac:dyDescent="0.3">
      <c r="A8">
        <v>2</v>
      </c>
      <c r="C8" t="s">
        <v>128</v>
      </c>
      <c r="D8" t="s">
        <v>127</v>
      </c>
    </row>
    <row r="9" spans="1:4" x14ac:dyDescent="0.3">
      <c r="A9">
        <v>2</v>
      </c>
      <c r="C9" t="s">
        <v>50</v>
      </c>
      <c r="D9" t="s">
        <v>129</v>
      </c>
    </row>
    <row r="10" spans="1:4" x14ac:dyDescent="0.3">
      <c r="A10">
        <v>2</v>
      </c>
      <c r="C10" t="s">
        <v>48</v>
      </c>
      <c r="D10" t="s">
        <v>130</v>
      </c>
    </row>
    <row r="11" spans="1:4" x14ac:dyDescent="0.3">
      <c r="A11">
        <v>2</v>
      </c>
      <c r="C11" t="s">
        <v>47</v>
      </c>
      <c r="D11" t="s">
        <v>131</v>
      </c>
    </row>
    <row r="12" spans="1:4" x14ac:dyDescent="0.3">
      <c r="A12">
        <v>2</v>
      </c>
      <c r="C12" t="s">
        <v>46</v>
      </c>
      <c r="D12" t="s">
        <v>132</v>
      </c>
    </row>
    <row r="13" spans="1:4" x14ac:dyDescent="0.3">
      <c r="A13">
        <v>2</v>
      </c>
      <c r="C13" t="s">
        <v>49</v>
      </c>
      <c r="D13" t="s">
        <v>133</v>
      </c>
    </row>
    <row r="14" spans="1:4" x14ac:dyDescent="0.3">
      <c r="A14">
        <v>3</v>
      </c>
      <c r="C14" t="s">
        <v>58</v>
      </c>
      <c r="D14" t="s">
        <v>134</v>
      </c>
    </row>
    <row r="15" spans="1:4" x14ac:dyDescent="0.3">
      <c r="A15">
        <v>3</v>
      </c>
      <c r="C15" t="s">
        <v>59</v>
      </c>
      <c r="D15" t="s">
        <v>135</v>
      </c>
    </row>
    <row r="16" spans="1:4" x14ac:dyDescent="0.3">
      <c r="A16">
        <v>3</v>
      </c>
      <c r="C16" t="s">
        <v>137</v>
      </c>
      <c r="D16" t="s">
        <v>136</v>
      </c>
    </row>
    <row r="17" spans="1:4" x14ac:dyDescent="0.3">
      <c r="A17">
        <v>3</v>
      </c>
      <c r="C17" t="s">
        <v>137</v>
      </c>
      <c r="D17" t="s">
        <v>138</v>
      </c>
    </row>
    <row r="18" spans="1:4" x14ac:dyDescent="0.3">
      <c r="A18">
        <v>3</v>
      </c>
      <c r="C18" t="s">
        <v>139</v>
      </c>
      <c r="D18" t="s">
        <v>136</v>
      </c>
    </row>
    <row r="19" spans="1:4" x14ac:dyDescent="0.3">
      <c r="A19">
        <v>3</v>
      </c>
      <c r="C19" t="s">
        <v>141</v>
      </c>
      <c r="D19" t="s">
        <v>140</v>
      </c>
    </row>
    <row r="20" spans="1:4" x14ac:dyDescent="0.3">
      <c r="A20">
        <v>4</v>
      </c>
      <c r="C20" t="s">
        <v>57</v>
      </c>
      <c r="D20" t="s">
        <v>123</v>
      </c>
    </row>
    <row r="21" spans="1:4" x14ac:dyDescent="0.3">
      <c r="A21">
        <v>4</v>
      </c>
      <c r="C21" t="s">
        <v>65</v>
      </c>
      <c r="D21" t="s">
        <v>142</v>
      </c>
    </row>
    <row r="22" spans="1:4" x14ac:dyDescent="0.3">
      <c r="A22">
        <v>4</v>
      </c>
      <c r="C22" t="s">
        <v>144</v>
      </c>
      <c r="D22" t="s">
        <v>143</v>
      </c>
    </row>
    <row r="23" spans="1:4" x14ac:dyDescent="0.3">
      <c r="A23">
        <v>4</v>
      </c>
      <c r="C23" t="s">
        <v>67</v>
      </c>
      <c r="D23" t="s">
        <v>145</v>
      </c>
    </row>
    <row r="24" spans="1:4" x14ac:dyDescent="0.3">
      <c r="A24">
        <v>4</v>
      </c>
      <c r="C24" t="s">
        <v>66</v>
      </c>
      <c r="D24" t="s">
        <v>146</v>
      </c>
    </row>
    <row r="25" spans="1:4" x14ac:dyDescent="0.3">
      <c r="A25">
        <v>5</v>
      </c>
      <c r="C25" t="s">
        <v>148</v>
      </c>
      <c r="D25" t="s">
        <v>147</v>
      </c>
    </row>
    <row r="26" spans="1:4" x14ac:dyDescent="0.3">
      <c r="A26">
        <v>5</v>
      </c>
      <c r="C26" t="s">
        <v>150</v>
      </c>
      <c r="D26" t="s">
        <v>149</v>
      </c>
    </row>
    <row r="27" spans="1:4" x14ac:dyDescent="0.3">
      <c r="A27">
        <v>5</v>
      </c>
      <c r="C27" t="s">
        <v>152</v>
      </c>
      <c r="D27" t="s">
        <v>151</v>
      </c>
    </row>
    <row r="28" spans="1:4" x14ac:dyDescent="0.3">
      <c r="A28">
        <v>5</v>
      </c>
      <c r="C28" t="s">
        <v>64</v>
      </c>
      <c r="D28" t="s">
        <v>136</v>
      </c>
    </row>
    <row r="29" spans="1:4" x14ac:dyDescent="0.3">
      <c r="A29">
        <v>5</v>
      </c>
      <c r="C29" t="s">
        <v>154</v>
      </c>
      <c r="D29" t="s">
        <v>153</v>
      </c>
    </row>
    <row r="30" spans="1:4" x14ac:dyDescent="0.3">
      <c r="A30">
        <v>6</v>
      </c>
      <c r="C30" t="s">
        <v>156</v>
      </c>
      <c r="D30" t="s">
        <v>155</v>
      </c>
    </row>
    <row r="31" spans="1:4" x14ac:dyDescent="0.3">
      <c r="A31">
        <v>6</v>
      </c>
      <c r="C31" t="s">
        <v>158</v>
      </c>
      <c r="D31" t="s">
        <v>157</v>
      </c>
    </row>
    <row r="32" spans="1:4" x14ac:dyDescent="0.3">
      <c r="A32">
        <v>6</v>
      </c>
      <c r="C32" t="s">
        <v>160</v>
      </c>
      <c r="D32" t="s">
        <v>159</v>
      </c>
    </row>
    <row r="33" spans="1:7" x14ac:dyDescent="0.3">
      <c r="A33">
        <v>6</v>
      </c>
      <c r="C33" t="s">
        <v>162</v>
      </c>
      <c r="D33" t="s">
        <v>161</v>
      </c>
    </row>
    <row r="34" spans="1:7" x14ac:dyDescent="0.3">
      <c r="A34">
        <v>6</v>
      </c>
      <c r="C34" t="s">
        <v>164</v>
      </c>
      <c r="D34" t="s">
        <v>163</v>
      </c>
    </row>
    <row r="35" spans="1:7" x14ac:dyDescent="0.3">
      <c r="A35">
        <v>7</v>
      </c>
      <c r="C35" t="s">
        <v>165</v>
      </c>
      <c r="D35" t="s">
        <v>129</v>
      </c>
    </row>
    <row r="36" spans="1:7" x14ac:dyDescent="0.3">
      <c r="A36">
        <v>7</v>
      </c>
      <c r="C36" t="s">
        <v>167</v>
      </c>
      <c r="D36" t="s">
        <v>166</v>
      </c>
    </row>
    <row r="37" spans="1:7" x14ac:dyDescent="0.3">
      <c r="A37">
        <v>7</v>
      </c>
      <c r="C37" t="s">
        <v>169</v>
      </c>
      <c r="D37" t="s">
        <v>168</v>
      </c>
    </row>
    <row r="38" spans="1:7" x14ac:dyDescent="0.3">
      <c r="A38">
        <v>7</v>
      </c>
      <c r="C38" t="s">
        <v>75</v>
      </c>
      <c r="D38" t="s">
        <v>170</v>
      </c>
    </row>
    <row r="39" spans="1:7" x14ac:dyDescent="0.3">
      <c r="A39">
        <v>7</v>
      </c>
      <c r="C39" t="s">
        <v>171</v>
      </c>
      <c r="D39" t="s">
        <v>136</v>
      </c>
    </row>
    <row r="40" spans="1:7" x14ac:dyDescent="0.3">
      <c r="A40">
        <v>8</v>
      </c>
      <c r="C40" t="s">
        <v>173</v>
      </c>
      <c r="D40" t="s">
        <v>172</v>
      </c>
    </row>
    <row r="41" spans="1:7" x14ac:dyDescent="0.3">
      <c r="A41">
        <v>8</v>
      </c>
      <c r="C41" t="s">
        <v>74</v>
      </c>
      <c r="D41" t="s">
        <v>136</v>
      </c>
    </row>
    <row r="42" spans="1:7" x14ac:dyDescent="0.3">
      <c r="A42">
        <v>8</v>
      </c>
      <c r="C42" t="s">
        <v>175</v>
      </c>
      <c r="D42" t="s">
        <v>174</v>
      </c>
    </row>
    <row r="43" spans="1:7" x14ac:dyDescent="0.3">
      <c r="A43">
        <v>8</v>
      </c>
      <c r="C43" t="s">
        <v>57</v>
      </c>
      <c r="D43" t="s">
        <v>176</v>
      </c>
    </row>
    <row r="44" spans="1:7" x14ac:dyDescent="0.3">
      <c r="A44">
        <v>8</v>
      </c>
      <c r="C44" t="s">
        <v>177</v>
      </c>
      <c r="D44" t="s">
        <v>120</v>
      </c>
    </row>
    <row r="45" spans="1:7" x14ac:dyDescent="0.3">
      <c r="A45">
        <v>11</v>
      </c>
      <c r="C45" t="s">
        <v>26</v>
      </c>
      <c r="D45" t="s">
        <v>146</v>
      </c>
      <c r="F45">
        <f>122-45</f>
        <v>77</v>
      </c>
      <c r="G45">
        <f>F45/8</f>
        <v>9.625</v>
      </c>
    </row>
    <row r="46" spans="1:7" x14ac:dyDescent="0.3">
      <c r="A46">
        <v>11</v>
      </c>
      <c r="C46" t="s">
        <v>25</v>
      </c>
      <c r="D46" t="s">
        <v>178</v>
      </c>
    </row>
    <row r="47" spans="1:7" x14ac:dyDescent="0.3">
      <c r="A47">
        <v>11</v>
      </c>
      <c r="C47" t="s">
        <v>180</v>
      </c>
      <c r="D47" t="s">
        <v>179</v>
      </c>
    </row>
    <row r="48" spans="1:7" x14ac:dyDescent="0.3">
      <c r="A48">
        <v>11</v>
      </c>
      <c r="C48" t="s">
        <v>181</v>
      </c>
      <c r="D48" t="s">
        <v>149</v>
      </c>
    </row>
    <row r="49" spans="1:4" x14ac:dyDescent="0.3">
      <c r="A49">
        <v>11</v>
      </c>
      <c r="C49" t="s">
        <v>182</v>
      </c>
      <c r="D49" t="s">
        <v>136</v>
      </c>
    </row>
    <row r="50" spans="1:4" x14ac:dyDescent="0.3">
      <c r="A50">
        <v>11</v>
      </c>
      <c r="C50" t="s">
        <v>184</v>
      </c>
      <c r="D50" t="s">
        <v>183</v>
      </c>
    </row>
    <row r="51" spans="1:4" x14ac:dyDescent="0.3">
      <c r="A51">
        <v>11</v>
      </c>
      <c r="C51" t="s">
        <v>30</v>
      </c>
      <c r="D51" t="s">
        <v>185</v>
      </c>
    </row>
    <row r="52" spans="1:4" x14ac:dyDescent="0.3">
      <c r="A52">
        <v>11</v>
      </c>
      <c r="C52" t="s">
        <v>187</v>
      </c>
      <c r="D52" t="s">
        <v>186</v>
      </c>
    </row>
    <row r="53" spans="1:4" x14ac:dyDescent="0.3">
      <c r="A53">
        <v>11</v>
      </c>
      <c r="C53" t="s">
        <v>61</v>
      </c>
      <c r="D53" t="s">
        <v>188</v>
      </c>
    </row>
    <row r="54" spans="1:4" x14ac:dyDescent="0.3">
      <c r="A54">
        <v>11</v>
      </c>
      <c r="C54" t="s">
        <v>51</v>
      </c>
      <c r="D54" t="s">
        <v>151</v>
      </c>
    </row>
    <row r="55" spans="1:4" x14ac:dyDescent="0.3">
      <c r="A55">
        <v>12</v>
      </c>
      <c r="C55" t="s">
        <v>189</v>
      </c>
      <c r="D55" t="s">
        <v>122</v>
      </c>
    </row>
    <row r="56" spans="1:4" x14ac:dyDescent="0.3">
      <c r="A56">
        <v>12</v>
      </c>
      <c r="C56" t="s">
        <v>31</v>
      </c>
      <c r="D56" t="s">
        <v>190</v>
      </c>
    </row>
    <row r="57" spans="1:4" x14ac:dyDescent="0.3">
      <c r="A57">
        <v>12</v>
      </c>
      <c r="C57" t="s">
        <v>28</v>
      </c>
      <c r="D57" t="s">
        <v>191</v>
      </c>
    </row>
    <row r="58" spans="1:4" x14ac:dyDescent="0.3">
      <c r="A58">
        <v>12</v>
      </c>
      <c r="C58" t="s">
        <v>29</v>
      </c>
      <c r="D58" t="s">
        <v>191</v>
      </c>
    </row>
    <row r="59" spans="1:4" x14ac:dyDescent="0.3">
      <c r="A59">
        <v>12</v>
      </c>
      <c r="C59" t="s">
        <v>35</v>
      </c>
      <c r="D59" t="s">
        <v>192</v>
      </c>
    </row>
    <row r="60" spans="1:4" x14ac:dyDescent="0.3">
      <c r="A60">
        <v>12</v>
      </c>
      <c r="C60" t="s">
        <v>37</v>
      </c>
      <c r="D60" t="s">
        <v>193</v>
      </c>
    </row>
    <row r="61" spans="1:4" x14ac:dyDescent="0.3">
      <c r="A61">
        <v>12</v>
      </c>
      <c r="C61" t="s">
        <v>62</v>
      </c>
      <c r="D61" t="s">
        <v>194</v>
      </c>
    </row>
    <row r="62" spans="1:4" x14ac:dyDescent="0.3">
      <c r="A62">
        <v>12</v>
      </c>
      <c r="C62" t="s">
        <v>39</v>
      </c>
      <c r="D62" t="s">
        <v>195</v>
      </c>
    </row>
    <row r="63" spans="1:4" x14ac:dyDescent="0.3">
      <c r="A63">
        <v>12</v>
      </c>
      <c r="C63" t="s">
        <v>38</v>
      </c>
      <c r="D63" t="s">
        <v>146</v>
      </c>
    </row>
    <row r="64" spans="1:4" x14ac:dyDescent="0.3">
      <c r="A64">
        <v>12</v>
      </c>
      <c r="C64" t="s">
        <v>197</v>
      </c>
      <c r="D64" t="s">
        <v>196</v>
      </c>
    </row>
    <row r="65" spans="1:4" x14ac:dyDescent="0.3">
      <c r="A65">
        <v>12</v>
      </c>
      <c r="C65" t="s">
        <v>70</v>
      </c>
      <c r="D65" t="s">
        <v>198</v>
      </c>
    </row>
    <row r="66" spans="1:4" x14ac:dyDescent="0.3">
      <c r="A66">
        <v>13</v>
      </c>
      <c r="C66" t="s">
        <v>43</v>
      </c>
      <c r="D66" t="s">
        <v>199</v>
      </c>
    </row>
    <row r="67" spans="1:4" x14ac:dyDescent="0.3">
      <c r="A67">
        <v>13</v>
      </c>
      <c r="C67" t="s">
        <v>26</v>
      </c>
      <c r="D67" t="s">
        <v>200</v>
      </c>
    </row>
    <row r="68" spans="1:4" x14ac:dyDescent="0.3">
      <c r="A68">
        <v>13</v>
      </c>
      <c r="C68" t="s">
        <v>37</v>
      </c>
      <c r="D68" t="s">
        <v>201</v>
      </c>
    </row>
    <row r="69" spans="1:4" x14ac:dyDescent="0.3">
      <c r="A69">
        <v>13</v>
      </c>
      <c r="C69" t="s">
        <v>30</v>
      </c>
      <c r="D69" t="s">
        <v>202</v>
      </c>
    </row>
    <row r="70" spans="1:4" x14ac:dyDescent="0.3">
      <c r="A70">
        <v>13</v>
      </c>
      <c r="C70" t="s">
        <v>55</v>
      </c>
      <c r="D70" t="s">
        <v>203</v>
      </c>
    </row>
    <row r="71" spans="1:4" x14ac:dyDescent="0.3">
      <c r="A71">
        <v>13</v>
      </c>
      <c r="C71" t="s">
        <v>34</v>
      </c>
      <c r="D71" t="s">
        <v>204</v>
      </c>
    </row>
    <row r="72" spans="1:4" x14ac:dyDescent="0.3">
      <c r="A72">
        <v>13</v>
      </c>
      <c r="C72" t="s">
        <v>206</v>
      </c>
      <c r="D72" t="s">
        <v>205</v>
      </c>
    </row>
    <row r="73" spans="1:4" x14ac:dyDescent="0.3">
      <c r="A73">
        <v>13</v>
      </c>
      <c r="C73" t="s">
        <v>208</v>
      </c>
      <c r="D73" t="s">
        <v>207</v>
      </c>
    </row>
    <row r="74" spans="1:4" x14ac:dyDescent="0.3">
      <c r="A74">
        <v>13</v>
      </c>
      <c r="C74" t="s">
        <v>25</v>
      </c>
      <c r="D74" t="s">
        <v>209</v>
      </c>
    </row>
    <row r="75" spans="1:4" x14ac:dyDescent="0.3">
      <c r="A75">
        <v>13</v>
      </c>
      <c r="C75" t="s">
        <v>45</v>
      </c>
      <c r="D75" t="s">
        <v>210</v>
      </c>
    </row>
    <row r="76" spans="1:4" x14ac:dyDescent="0.3">
      <c r="A76">
        <v>14</v>
      </c>
      <c r="C76" t="s">
        <v>60</v>
      </c>
      <c r="D76" t="s">
        <v>211</v>
      </c>
    </row>
    <row r="77" spans="1:4" x14ac:dyDescent="0.3">
      <c r="A77">
        <v>14</v>
      </c>
      <c r="C77" t="s">
        <v>44</v>
      </c>
      <c r="D77" t="s">
        <v>212</v>
      </c>
    </row>
    <row r="78" spans="1:4" x14ac:dyDescent="0.3">
      <c r="A78">
        <v>14</v>
      </c>
      <c r="C78" t="s">
        <v>54</v>
      </c>
      <c r="D78" t="s">
        <v>213</v>
      </c>
    </row>
    <row r="79" spans="1:4" x14ac:dyDescent="0.3">
      <c r="A79">
        <v>14</v>
      </c>
      <c r="C79" t="s">
        <v>215</v>
      </c>
      <c r="D79" t="s">
        <v>214</v>
      </c>
    </row>
    <row r="80" spans="1:4" x14ac:dyDescent="0.3">
      <c r="A80">
        <v>14</v>
      </c>
      <c r="C80" t="s">
        <v>25</v>
      </c>
      <c r="D80" t="s">
        <v>216</v>
      </c>
    </row>
    <row r="81" spans="1:4" x14ac:dyDescent="0.3">
      <c r="A81">
        <v>14</v>
      </c>
      <c r="C81" t="s">
        <v>218</v>
      </c>
      <c r="D81" t="s">
        <v>217</v>
      </c>
    </row>
    <row r="82" spans="1:4" x14ac:dyDescent="0.3">
      <c r="A82">
        <v>14</v>
      </c>
      <c r="C82" t="s">
        <v>219</v>
      </c>
      <c r="D82" t="s">
        <v>193</v>
      </c>
    </row>
    <row r="83" spans="1:4" x14ac:dyDescent="0.3">
      <c r="A83">
        <v>14</v>
      </c>
      <c r="C83" t="s">
        <v>37</v>
      </c>
      <c r="D83" t="s">
        <v>220</v>
      </c>
    </row>
    <row r="84" spans="1:4" x14ac:dyDescent="0.3">
      <c r="A84">
        <v>14</v>
      </c>
      <c r="C84" t="s">
        <v>52</v>
      </c>
      <c r="D84" t="s">
        <v>221</v>
      </c>
    </row>
    <row r="85" spans="1:4" x14ac:dyDescent="0.3">
      <c r="A85">
        <v>15</v>
      </c>
      <c r="C85" t="s">
        <v>53</v>
      </c>
      <c r="D85" t="s">
        <v>195</v>
      </c>
    </row>
    <row r="86" spans="1:4" x14ac:dyDescent="0.3">
      <c r="A86">
        <v>15</v>
      </c>
      <c r="C86" t="s">
        <v>36</v>
      </c>
      <c r="D86" t="s">
        <v>161</v>
      </c>
    </row>
    <row r="87" spans="1:4" x14ac:dyDescent="0.3">
      <c r="A87">
        <v>15</v>
      </c>
      <c r="C87" t="s">
        <v>223</v>
      </c>
      <c r="D87" t="s">
        <v>222</v>
      </c>
    </row>
    <row r="88" spans="1:4" x14ac:dyDescent="0.3">
      <c r="A88">
        <v>15</v>
      </c>
      <c r="C88" t="s">
        <v>56</v>
      </c>
      <c r="D88" t="s">
        <v>224</v>
      </c>
    </row>
    <row r="89" spans="1:4" x14ac:dyDescent="0.3">
      <c r="A89">
        <v>15</v>
      </c>
      <c r="C89" t="s">
        <v>61</v>
      </c>
      <c r="D89" t="s">
        <v>201</v>
      </c>
    </row>
    <row r="90" spans="1:4" x14ac:dyDescent="0.3">
      <c r="A90">
        <v>15</v>
      </c>
      <c r="C90" t="s">
        <v>63</v>
      </c>
      <c r="D90" t="s">
        <v>178</v>
      </c>
    </row>
    <row r="91" spans="1:4" x14ac:dyDescent="0.3">
      <c r="A91">
        <v>15</v>
      </c>
      <c r="C91" t="s">
        <v>226</v>
      </c>
      <c r="D91" t="s">
        <v>225</v>
      </c>
    </row>
    <row r="92" spans="1:4" x14ac:dyDescent="0.3">
      <c r="A92">
        <v>15</v>
      </c>
      <c r="C92" t="s">
        <v>228</v>
      </c>
      <c r="D92" t="s">
        <v>227</v>
      </c>
    </row>
    <row r="93" spans="1:4" x14ac:dyDescent="0.3">
      <c r="A93">
        <v>15</v>
      </c>
      <c r="C93" t="s">
        <v>60</v>
      </c>
      <c r="D93" t="s">
        <v>229</v>
      </c>
    </row>
    <row r="94" spans="1:4" x14ac:dyDescent="0.3">
      <c r="A94">
        <v>16</v>
      </c>
      <c r="C94" t="s">
        <v>230</v>
      </c>
      <c r="D94" t="s">
        <v>194</v>
      </c>
    </row>
    <row r="95" spans="1:4" x14ac:dyDescent="0.3">
      <c r="A95">
        <v>16</v>
      </c>
      <c r="C95" t="s">
        <v>26</v>
      </c>
      <c r="D95" t="s">
        <v>166</v>
      </c>
    </row>
    <row r="96" spans="1:4" x14ac:dyDescent="0.3">
      <c r="A96">
        <v>16</v>
      </c>
      <c r="C96" t="s">
        <v>231</v>
      </c>
      <c r="D96" t="s">
        <v>214</v>
      </c>
    </row>
    <row r="97" spans="1:4" x14ac:dyDescent="0.3">
      <c r="A97">
        <v>16</v>
      </c>
      <c r="C97" t="s">
        <v>233</v>
      </c>
      <c r="D97" t="s">
        <v>232</v>
      </c>
    </row>
    <row r="98" spans="1:4" x14ac:dyDescent="0.3">
      <c r="A98">
        <v>16</v>
      </c>
      <c r="C98" t="s">
        <v>235</v>
      </c>
      <c r="D98" t="s">
        <v>234</v>
      </c>
    </row>
    <row r="99" spans="1:4" x14ac:dyDescent="0.3">
      <c r="A99">
        <v>16</v>
      </c>
      <c r="C99" t="s">
        <v>237</v>
      </c>
      <c r="D99" t="s">
        <v>236</v>
      </c>
    </row>
    <row r="100" spans="1:4" x14ac:dyDescent="0.3">
      <c r="A100">
        <v>16</v>
      </c>
      <c r="C100" t="s">
        <v>239</v>
      </c>
      <c r="D100" t="s">
        <v>238</v>
      </c>
    </row>
    <row r="101" spans="1:4" x14ac:dyDescent="0.3">
      <c r="A101">
        <v>16</v>
      </c>
      <c r="C101" t="s">
        <v>37</v>
      </c>
      <c r="D101" t="s">
        <v>207</v>
      </c>
    </row>
    <row r="102" spans="1:4" x14ac:dyDescent="0.3">
      <c r="A102">
        <v>16</v>
      </c>
      <c r="C102" t="s">
        <v>241</v>
      </c>
      <c r="D102" t="s">
        <v>240</v>
      </c>
    </row>
    <row r="103" spans="1:4" x14ac:dyDescent="0.3">
      <c r="A103">
        <v>17</v>
      </c>
      <c r="C103" t="s">
        <v>68</v>
      </c>
      <c r="D103" t="s">
        <v>145</v>
      </c>
    </row>
    <row r="104" spans="1:4" x14ac:dyDescent="0.3">
      <c r="A104">
        <v>17</v>
      </c>
      <c r="C104" t="s">
        <v>69</v>
      </c>
      <c r="D104" t="s">
        <v>185</v>
      </c>
    </row>
    <row r="105" spans="1:4" x14ac:dyDescent="0.3">
      <c r="A105">
        <v>17</v>
      </c>
      <c r="C105" t="s">
        <v>53</v>
      </c>
      <c r="D105" t="s">
        <v>242</v>
      </c>
    </row>
    <row r="106" spans="1:4" x14ac:dyDescent="0.3">
      <c r="A106">
        <v>17</v>
      </c>
      <c r="C106" t="s">
        <v>243</v>
      </c>
      <c r="D106" t="s">
        <v>194</v>
      </c>
    </row>
    <row r="107" spans="1:4" x14ac:dyDescent="0.3">
      <c r="A107">
        <v>17</v>
      </c>
      <c r="C107" t="s">
        <v>244</v>
      </c>
      <c r="D107" t="s">
        <v>238</v>
      </c>
    </row>
    <row r="108" spans="1:4" x14ac:dyDescent="0.3">
      <c r="A108">
        <v>17</v>
      </c>
      <c r="C108" t="s">
        <v>72</v>
      </c>
      <c r="D108" t="s">
        <v>123</v>
      </c>
    </row>
    <row r="109" spans="1:4" x14ac:dyDescent="0.3">
      <c r="A109">
        <v>17</v>
      </c>
      <c r="C109" t="s">
        <v>245</v>
      </c>
      <c r="D109" t="s">
        <v>146</v>
      </c>
    </row>
    <row r="110" spans="1:4" x14ac:dyDescent="0.3">
      <c r="A110">
        <v>17</v>
      </c>
      <c r="C110" t="s">
        <v>71</v>
      </c>
      <c r="D110" t="s">
        <v>136</v>
      </c>
    </row>
    <row r="111" spans="1:4" x14ac:dyDescent="0.3">
      <c r="A111">
        <v>17</v>
      </c>
      <c r="C111" t="s">
        <v>247</v>
      </c>
      <c r="D111" t="s">
        <v>246</v>
      </c>
    </row>
    <row r="112" spans="1:4" x14ac:dyDescent="0.3">
      <c r="A112">
        <v>17</v>
      </c>
      <c r="C112" t="s">
        <v>249</v>
      </c>
      <c r="D112" t="s">
        <v>248</v>
      </c>
    </row>
    <row r="113" spans="1:4" x14ac:dyDescent="0.3">
      <c r="A113">
        <v>18</v>
      </c>
      <c r="C113" t="s">
        <v>73</v>
      </c>
      <c r="D113" t="s">
        <v>135</v>
      </c>
    </row>
    <row r="114" spans="1:4" x14ac:dyDescent="0.3">
      <c r="A114">
        <v>18</v>
      </c>
      <c r="C114" t="s">
        <v>32</v>
      </c>
      <c r="D114" t="s">
        <v>155</v>
      </c>
    </row>
    <row r="115" spans="1:4" x14ac:dyDescent="0.3">
      <c r="A115">
        <v>18</v>
      </c>
      <c r="C115" t="s">
        <v>45</v>
      </c>
      <c r="D115" t="s">
        <v>236</v>
      </c>
    </row>
    <row r="116" spans="1:4" x14ac:dyDescent="0.3">
      <c r="A116">
        <v>18</v>
      </c>
      <c r="C116" t="s">
        <v>25</v>
      </c>
      <c r="D116" t="s">
        <v>147</v>
      </c>
    </row>
    <row r="117" spans="1:4" x14ac:dyDescent="0.3">
      <c r="A117">
        <v>18</v>
      </c>
      <c r="C117" t="s">
        <v>25</v>
      </c>
      <c r="D117" t="s">
        <v>194</v>
      </c>
    </row>
    <row r="118" spans="1:4" x14ac:dyDescent="0.3">
      <c r="A118">
        <v>18</v>
      </c>
      <c r="C118" t="s">
        <v>250</v>
      </c>
      <c r="D118" t="s">
        <v>176</v>
      </c>
    </row>
    <row r="119" spans="1:4" x14ac:dyDescent="0.3">
      <c r="A119">
        <v>18</v>
      </c>
      <c r="C119" t="s">
        <v>251</v>
      </c>
      <c r="D119" t="s">
        <v>159</v>
      </c>
    </row>
    <row r="120" spans="1:4" x14ac:dyDescent="0.3">
      <c r="A120">
        <v>18</v>
      </c>
      <c r="C120" t="s">
        <v>253</v>
      </c>
      <c r="D120" t="s">
        <v>252</v>
      </c>
    </row>
    <row r="121" spans="1:4" x14ac:dyDescent="0.3">
      <c r="A121">
        <v>18</v>
      </c>
      <c r="C121" t="s">
        <v>254</v>
      </c>
      <c r="D121" t="s">
        <v>136</v>
      </c>
    </row>
    <row r="122" spans="1:4" x14ac:dyDescent="0.3">
      <c r="A122">
        <v>18</v>
      </c>
      <c r="C122" t="s">
        <v>255</v>
      </c>
      <c r="D122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ABOUT</vt:lpstr>
      <vt:lpstr>ALLCAMPERS</vt:lpstr>
      <vt:lpstr>CABINPRIORITY</vt:lpstr>
      <vt:lpstr>ACTIVITYKEY</vt:lpstr>
      <vt:lpstr>-printActivities</vt:lpstr>
      <vt:lpstr>-printCabins</vt:lpstr>
      <vt:lpstr>-activityOut</vt:lpstr>
      <vt:lpstr>-activityOutP2</vt:lpstr>
      <vt:lpstr>-cabinOut</vt:lpstr>
      <vt:lpstr>-backup</vt:lpstr>
      <vt:lpstr>Formatting sheet</vt:lpstr>
      <vt:lpstr>ABOUT!Print_Area</vt:lpstr>
      <vt:lpstr>ACTIVITYKEY!Print_Area</vt:lpstr>
      <vt:lpstr>'-activityOut'!Print_Area</vt:lpstr>
      <vt:lpstr>'-activityOutP2'!Print_Area</vt:lpstr>
      <vt:lpstr>ALLCAMPERS!Print_Area</vt:lpstr>
      <vt:lpstr>'-printActivities'!Print_Area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jsbondi</cp:lastModifiedBy>
  <cp:lastPrinted>2019-04-04T05:24:45Z</cp:lastPrinted>
  <dcterms:created xsi:type="dcterms:W3CDTF">2015-06-05T18:17:20Z</dcterms:created>
  <dcterms:modified xsi:type="dcterms:W3CDTF">2019-04-04T16:29:38Z</dcterms:modified>
</cp:coreProperties>
</file>